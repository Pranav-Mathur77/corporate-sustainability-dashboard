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pivotTables/pivotTable1.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pivotTables/pivotTable2.xml" ContentType="application/vnd.openxmlformats-officedocument.spreadsheetml.pivotTable+xml"/>
  <Override PartName="/xl/pivotTables/pivotTable3.xml" ContentType="application/vnd.openxmlformats-officedocument.spreadsheetml.pivotTable+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DD97A8EA-9A9A-E61F-A557-7D5A7D7259CE}"/>
  <workbookPr codeName="ThisWorkbook" hidePivotFieldList="1"/>
  <mc:AlternateContent xmlns:mc="http://schemas.openxmlformats.org/markup-compatibility/2006">
    <mc:Choice Requires="x15">
      <x15ac:absPath xmlns:x15ac="http://schemas.microsoft.com/office/spreadsheetml/2010/11/ac" url="C:\Users\ASUS\OneDrive\Desktop\Excel Practice\EOIS Project\"/>
    </mc:Choice>
  </mc:AlternateContent>
  <xr:revisionPtr revIDLastSave="0" documentId="13_ncr:1_{C0755B3C-FAF2-4FC2-B0DF-FF8DB5555579}" xr6:coauthVersionLast="47" xr6:coauthVersionMax="47" xr10:uidLastSave="{00000000-0000-0000-0000-000000000000}"/>
  <bookViews>
    <workbookView xWindow="-120" yWindow="-120" windowWidth="29040" windowHeight="15720" activeTab="4" xr2:uid="{00000000-000D-0000-FFFF-FFFF00000000}"/>
  </bookViews>
  <sheets>
    <sheet name="Raw Data" sheetId="1" r:id="rId1"/>
    <sheet name="Total Energy Trend" sheetId="6" r:id="rId2"/>
    <sheet name="GHG Emissions Comparison" sheetId="7" r:id="rId3"/>
    <sheet name="Water withdrawal stacked chart" sheetId="8" r:id="rId4"/>
    <sheet name="Summary" sheetId="9" r:id="rId5"/>
    <sheet name="Dashboard" sheetId="11" r:id="rId6"/>
    <sheet name="Control Panel" sheetId="12" r:id="rId7"/>
  </sheets>
  <definedNames>
    <definedName name="Slicer_Company1">#N/A</definedName>
    <definedName name="Slicer_Year1">#N/A</definedName>
  </definedNames>
  <calcPr calcId="191029"/>
  <pivotCaches>
    <pivotCache cacheId="0" r:id="rId8"/>
  </pivotCaches>
  <extLst>
    <ext xmlns:x14="http://schemas.microsoft.com/office/spreadsheetml/2009/9/main" uri="{BBE1A952-AA13-448e-AADC-164F8A28A991}">
      <x14:slicerCaches>
        <x14:slicerCache r:id="rId9"/>
        <x14:slicerCache r:id="rId10"/>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2" i="9" l="1"/>
  <c r="C5" i="11"/>
  <c r="C4" i="11"/>
  <c r="C3" i="11"/>
  <c r="C2" i="11"/>
  <c r="K3" i="9"/>
  <c r="K4" i="9"/>
  <c r="K5" i="9"/>
  <c r="K6" i="9"/>
  <c r="K7" i="9"/>
  <c r="K8" i="9"/>
  <c r="K9" i="9"/>
  <c r="K10" i="9"/>
  <c r="K11" i="9"/>
  <c r="K12" i="9"/>
  <c r="K13" i="9"/>
  <c r="K14" i="9"/>
  <c r="K15" i="9"/>
  <c r="K16" i="9"/>
  <c r="K2" i="9"/>
  <c r="F2" i="9"/>
  <c r="H2" i="9"/>
  <c r="J2" i="9"/>
  <c r="J4" i="9"/>
  <c r="J5" i="9"/>
  <c r="J6" i="9"/>
  <c r="J7" i="9"/>
  <c r="J8" i="9"/>
  <c r="J9" i="9"/>
  <c r="J10" i="9"/>
  <c r="J11" i="9"/>
  <c r="J12" i="9"/>
  <c r="J13" i="9"/>
  <c r="J14" i="9"/>
  <c r="J15" i="9"/>
  <c r="J16" i="9"/>
  <c r="J3" i="9"/>
  <c r="F3" i="9"/>
  <c r="G3" i="9"/>
  <c r="H3" i="9"/>
  <c r="I3" i="9"/>
  <c r="F4" i="9"/>
  <c r="G4" i="9"/>
  <c r="H4" i="9"/>
  <c r="I4" i="9"/>
  <c r="F5" i="9"/>
  <c r="G5" i="9"/>
  <c r="H5" i="9"/>
  <c r="I5" i="9"/>
  <c r="F6" i="9"/>
  <c r="G6" i="9"/>
  <c r="H6" i="9"/>
  <c r="I6" i="9"/>
  <c r="F7" i="9"/>
  <c r="G7" i="9"/>
  <c r="H7" i="9"/>
  <c r="I7" i="9"/>
  <c r="F8" i="9"/>
  <c r="G8" i="9"/>
  <c r="H8" i="9"/>
  <c r="I8" i="9"/>
  <c r="F9" i="9"/>
  <c r="G9" i="9"/>
  <c r="H9" i="9"/>
  <c r="I9" i="9"/>
  <c r="F10" i="9"/>
  <c r="G10" i="9"/>
  <c r="H10" i="9"/>
  <c r="I10" i="9"/>
  <c r="F11" i="9"/>
  <c r="G11" i="9"/>
  <c r="H11" i="9"/>
  <c r="I11" i="9"/>
  <c r="F12" i="9"/>
  <c r="G12" i="9"/>
  <c r="H12" i="9"/>
  <c r="I12" i="9"/>
  <c r="F13" i="9"/>
  <c r="G13" i="9"/>
  <c r="H13" i="9"/>
  <c r="I13" i="9"/>
  <c r="F14" i="9"/>
  <c r="G14" i="9"/>
  <c r="H14" i="9"/>
  <c r="I14" i="9"/>
  <c r="F15" i="9"/>
  <c r="G15" i="9"/>
  <c r="H15" i="9"/>
  <c r="I15" i="9"/>
  <c r="F16" i="9"/>
  <c r="G16" i="9"/>
  <c r="H16" i="9"/>
  <c r="I16" i="9"/>
  <c r="I2" i="9"/>
  <c r="G2" i="9"/>
  <c r="E5" i="9"/>
  <c r="E6" i="9"/>
  <c r="E7" i="9"/>
  <c r="E8" i="9"/>
  <c r="E9" i="9"/>
  <c r="E10" i="9"/>
  <c r="E11" i="9"/>
  <c r="E12" i="9"/>
  <c r="E13" i="9"/>
  <c r="E14" i="9"/>
  <c r="E15" i="9"/>
  <c r="E16" i="9"/>
  <c r="D5" i="9"/>
  <c r="D6" i="9"/>
  <c r="D7" i="9"/>
  <c r="D8" i="9"/>
  <c r="D9" i="9"/>
  <c r="D10" i="9"/>
  <c r="D11" i="9"/>
  <c r="D12" i="9"/>
  <c r="D13" i="9"/>
  <c r="D14" i="9"/>
  <c r="D15" i="9"/>
  <c r="D16" i="9"/>
  <c r="C5" i="9"/>
  <c r="C6" i="9"/>
  <c r="C7" i="9"/>
  <c r="C8" i="9"/>
  <c r="C9" i="9"/>
  <c r="C10" i="9"/>
  <c r="C11" i="9"/>
  <c r="C12" i="9"/>
  <c r="C13" i="9"/>
  <c r="C14" i="9"/>
  <c r="C15" i="9"/>
  <c r="C16" i="9"/>
  <c r="D3" i="9"/>
  <c r="D4" i="9"/>
  <c r="C3" i="9"/>
  <c r="E3" i="9" s="1"/>
  <c r="C4" i="9"/>
  <c r="E4" i="9" s="1"/>
  <c r="D2" i="9"/>
  <c r="E2" i="9" l="1"/>
</calcChain>
</file>

<file path=xl/sharedStrings.xml><?xml version="1.0" encoding="utf-8"?>
<sst xmlns="http://schemas.openxmlformats.org/spreadsheetml/2006/main" count="3037" uniqueCount="88">
  <si>
    <t>Company</t>
  </si>
  <si>
    <t>Year</t>
  </si>
  <si>
    <t>Metric</t>
  </si>
  <si>
    <t>Sub-Metric</t>
  </si>
  <si>
    <t>Value</t>
  </si>
  <si>
    <t>Unit</t>
  </si>
  <si>
    <t>Energy</t>
  </si>
  <si>
    <t>APSEZL</t>
  </si>
  <si>
    <t>2021-22</t>
  </si>
  <si>
    <t>Water</t>
  </si>
  <si>
    <t>Third-party Water</t>
  </si>
  <si>
    <t>kL</t>
  </si>
  <si>
    <t>Seawater / Desalinated Water</t>
  </si>
  <si>
    <t>Other Water Sources</t>
  </si>
  <si>
    <t>Total Water Withdrawal</t>
  </si>
  <si>
    <t>Total Water Consumption</t>
  </si>
  <si>
    <t>Air Emissions</t>
  </si>
  <si>
    <t>NOx</t>
  </si>
  <si>
    <t>µg/m³</t>
  </si>
  <si>
    <t>SOx</t>
  </si>
  <si>
    <t>Particulate Matter (PM)</t>
  </si>
  <si>
    <t>GHG Emissions</t>
  </si>
  <si>
    <t>Scope 1</t>
  </si>
  <si>
    <t>tCO₂e</t>
  </si>
  <si>
    <t>Scope 2</t>
  </si>
  <si>
    <t>Scope 1+2</t>
  </si>
  <si>
    <t>Waste</t>
  </si>
  <si>
    <t>Plastic Waste</t>
  </si>
  <si>
    <t>MT</t>
  </si>
  <si>
    <t>E-Waste</t>
  </si>
  <si>
    <t>Bio-Medical Waste</t>
  </si>
  <si>
    <t>Battery Waste</t>
  </si>
  <si>
    <t>Other Hazardous Waste</t>
  </si>
  <si>
    <t>Other Non-Hazardous Waste</t>
  </si>
  <si>
    <t>Total Waste Generated</t>
  </si>
  <si>
    <t>Waste Recycled</t>
  </si>
  <si>
    <t>Waste Reused</t>
  </si>
  <si>
    <t>Other Recovery</t>
  </si>
  <si>
    <t>Total Waste Recovered</t>
  </si>
  <si>
    <t>Incineration Disposal</t>
  </si>
  <si>
    <t>Landfilling Disposal</t>
  </si>
  <si>
    <t>Other Disposal</t>
  </si>
  <si>
    <t>Total Waste Disposed</t>
  </si>
  <si>
    <t>2022-23</t>
  </si>
  <si>
    <t>Electricity Consumption</t>
  </si>
  <si>
    <t>GJ</t>
  </si>
  <si>
    <t>Fuel Consumption</t>
  </si>
  <si>
    <t>Total Energy Consumption</t>
  </si>
  <si>
    <t>Surface Water Withdrawal</t>
  </si>
  <si>
    <t>Groundwater Withdrawal</t>
  </si>
  <si>
    <t>2023-24</t>
  </si>
  <si>
    <t>Grasim</t>
  </si>
  <si>
    <t>Tonnes</t>
  </si>
  <si>
    <t>Construction &amp; Demolition Waste</t>
  </si>
  <si>
    <t>Waste Re-used</t>
  </si>
  <si>
    <t>Other Disposal Operations</t>
  </si>
  <si>
    <t>HUL</t>
  </si>
  <si>
    <t>Other Energy Consumption</t>
  </si>
  <si>
    <t>Mg/Nm3</t>
  </si>
  <si>
    <t>RIL</t>
  </si>
  <si>
    <t>Tata Motors</t>
  </si>
  <si>
    <t>ODS (CFC-11 eq)</t>
  </si>
  <si>
    <t>kg</t>
  </si>
  <si>
    <t>Incineration</t>
  </si>
  <si>
    <t>Landfilling</t>
  </si>
  <si>
    <t>Adani Ports &amp; Special Economic Zone Ltd.</t>
  </si>
  <si>
    <t>Company Code</t>
  </si>
  <si>
    <t>Grasim Industries Limited</t>
  </si>
  <si>
    <t>Hindustan Unilever Limited</t>
  </si>
  <si>
    <t>Reliance Industries Limited</t>
  </si>
  <si>
    <t>TM</t>
  </si>
  <si>
    <t>Row Labels</t>
  </si>
  <si>
    <t>Grand Total</t>
  </si>
  <si>
    <t>Column Labels</t>
  </si>
  <si>
    <t>Sum of Value</t>
  </si>
  <si>
    <t>Total Energy (in GJ)</t>
  </si>
  <si>
    <t>Fuel (inGJ)</t>
  </si>
  <si>
    <t>Electricity (in GJ)</t>
  </si>
  <si>
    <t>Scope1plus2 (in tCO2e)</t>
  </si>
  <si>
    <t>Total Waste Generated (in MT)</t>
  </si>
  <si>
    <t>Total Waste Recovered (in MT)</t>
  </si>
  <si>
    <t>Recycling (in %)</t>
  </si>
  <si>
    <t>YoY % (Year-on-Year Percentage Change) %</t>
  </si>
  <si>
    <t>Total Energy (2023-24)</t>
  </si>
  <si>
    <t>Total GHG (2023-24)</t>
  </si>
  <si>
    <t>Total Water (2023-24)</t>
  </si>
  <si>
    <t>Avg Recycling % (2023-24)</t>
  </si>
  <si>
    <t>Total Water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</si>
</sst>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3" formatCode="_ * #,##0.00_ ;_ * \-#,##0.00_ ;_ * &quot;-&quot;??_ ;_ @_ "/>
    <numFmt numFmtId="164" formatCode="_ * #,##0_ ;_ * \-#,##0_ ;_ * &quot;-&quot;??_ ;_ @_ "/>
  </numFmts>
  <fonts count="7" x14ac:knownFonts="1">
    <font>
      <sz val="11"/>
      <color theme="1"/>
      <name val="Calibri"/>
      <family val="2"/>
      <scheme val="minor"/>
    </font>
    <font>
      <b/>
      <sz val="14"/>
      <color theme="1"/>
      <name val="Times New Roman"/>
      <family val="1"/>
    </font>
    <font>
      <sz val="14"/>
      <color theme="1"/>
      <name val="Times New Roman"/>
      <family val="1"/>
    </font>
    <font>
      <sz val="8"/>
      <name val="Calibri"/>
      <family val="2"/>
      <scheme val="minor"/>
    </font>
    <font>
      <sz val="11"/>
      <color theme="1"/>
      <name val="Calibri"/>
      <family val="2"/>
      <scheme val="minor"/>
    </font>
    <font>
      <b/>
      <sz val="11"/>
      <color theme="1"/>
      <name val="Calibri"/>
      <family val="2"/>
      <scheme val="minor"/>
    </font>
    <font>
      <b/>
      <sz val="14"/>
      <color theme="0"/>
      <name val="Times New Roman"/>
      <family val="1"/>
    </font>
  </fonts>
  <fills count="3">
    <fill>
      <patternFill patternType="none"/>
    </fill>
    <fill>
      <patternFill patternType="gray125"/>
    </fill>
    <fill>
      <patternFill patternType="solid">
        <fgColor rgb="FF00206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3">
    <xf numFmtId="0" fontId="0" fillId="0" borderId="0"/>
    <xf numFmtId="43" fontId="4" fillId="0" borderId="0" applyFont="0" applyFill="0" applyBorder="0" applyAlignment="0" applyProtection="0"/>
    <xf numFmtId="9" fontId="4" fillId="0" borderId="0" applyFont="0" applyFill="0" applyBorder="0" applyAlignment="0" applyProtection="0"/>
  </cellStyleXfs>
  <cellXfs count="28">
    <xf numFmtId="0" fontId="0" fillId="0" borderId="0" xfId="0"/>
    <xf numFmtId="0" fontId="1" fillId="0" borderId="0" xfId="0" applyFont="1" applyAlignment="1">
      <alignment horizontal="center" vertical="center" wrapText="1"/>
    </xf>
    <xf numFmtId="0" fontId="1" fillId="0" borderId="0" xfId="0" applyFont="1"/>
    <xf numFmtId="0" fontId="2" fillId="0" borderId="0" xfId="0" applyFont="1"/>
    <xf numFmtId="0" fontId="2" fillId="0" borderId="0" xfId="0" applyFont="1" applyAlignment="1">
      <alignment horizontal="center" vertical="center" wrapText="1"/>
    </xf>
    <xf numFmtId="0" fontId="2" fillId="0" borderId="0" xfId="0" applyFont="1" applyAlignment="1">
      <alignment vertical="center" wrapText="1"/>
    </xf>
    <xf numFmtId="3" fontId="2" fillId="0" borderId="0" xfId="0" applyNumberFormat="1" applyFont="1" applyAlignment="1">
      <alignment vertical="center" wrapText="1"/>
    </xf>
    <xf numFmtId="10" fontId="2" fillId="0" borderId="0" xfId="0" applyNumberFormat="1" applyFont="1" applyAlignment="1">
      <alignment vertical="center" wrapText="1"/>
    </xf>
    <xf numFmtId="0" fontId="1" fillId="0" borderId="0" xfId="0" applyFont="1" applyAlignment="1">
      <alignment vertical="center"/>
    </xf>
    <xf numFmtId="0" fontId="0" fillId="0" borderId="0" xfId="0" pivotButton="1"/>
    <xf numFmtId="0" fontId="0" fillId="0" borderId="0" xfId="0" applyAlignment="1">
      <alignment horizontal="left"/>
    </xf>
    <xf numFmtId="164" fontId="0" fillId="0" borderId="0" xfId="0" applyNumberFormat="1"/>
    <xf numFmtId="0" fontId="2" fillId="0" borderId="0" xfId="0" pivotButton="1" applyFont="1"/>
    <xf numFmtId="0" fontId="2" fillId="0" borderId="0" xfId="0" applyFont="1" applyAlignment="1">
      <alignment horizontal="left"/>
    </xf>
    <xf numFmtId="164" fontId="2" fillId="0" borderId="0" xfId="0" applyNumberFormat="1" applyFont="1"/>
    <xf numFmtId="9" fontId="2" fillId="0" borderId="0" xfId="0" applyNumberFormat="1" applyFont="1"/>
    <xf numFmtId="0" fontId="5" fillId="0" borderId="0" xfId="0" applyFont="1" applyAlignment="1">
      <alignment horizontal="center" vertical="center" wrapText="1"/>
    </xf>
    <xf numFmtId="0" fontId="5" fillId="0" borderId="0" xfId="0" applyFont="1" applyAlignment="1">
      <alignment vertical="center" wrapText="1"/>
    </xf>
    <xf numFmtId="0" fontId="6" fillId="2" borderId="0" xfId="0" applyFont="1" applyFill="1"/>
    <xf numFmtId="0" fontId="2" fillId="0" borderId="0" xfId="0" applyFont="1" applyAlignment="1"/>
    <xf numFmtId="0" fontId="6" fillId="2" borderId="1" xfId="0" applyFont="1" applyFill="1" applyBorder="1"/>
    <xf numFmtId="0" fontId="6" fillId="2" borderId="1" xfId="0" applyFont="1" applyFill="1" applyBorder="1" applyAlignment="1"/>
    <xf numFmtId="9" fontId="6" fillId="2" borderId="1" xfId="0" applyNumberFormat="1" applyFont="1" applyFill="1" applyBorder="1"/>
    <xf numFmtId="0" fontId="1" fillId="0" borderId="1" xfId="0" applyFont="1" applyBorder="1"/>
    <xf numFmtId="164" fontId="1" fillId="0" borderId="1" xfId="1" applyNumberFormat="1" applyFont="1" applyBorder="1" applyAlignment="1">
      <alignment horizontal="center"/>
    </xf>
    <xf numFmtId="164" fontId="1" fillId="0" borderId="1" xfId="1" applyNumberFormat="1" applyFont="1" applyBorder="1"/>
    <xf numFmtId="10" fontId="1" fillId="0" borderId="1" xfId="2" applyNumberFormat="1" applyFont="1" applyBorder="1"/>
    <xf numFmtId="9" fontId="1" fillId="0" borderId="1" xfId="0" applyNumberFormat="1" applyFont="1" applyBorder="1"/>
  </cellXfs>
  <cellStyles count="3">
    <cellStyle name="Comma" xfId="1" builtinId="3"/>
    <cellStyle name="Normal" xfId="0" builtinId="0"/>
    <cellStyle name="Percent" xfId="2" builtinId="5"/>
  </cellStyles>
  <dxfs count="207">
    <dxf>
      <numFmt numFmtId="164" formatCode="_ * #,##0_ ;_ * \-#,##0_ ;_ * &quot;-&quot;??_ ;_ @_ "/>
    </dxf>
    <dxf>
      <numFmt numFmtId="164" formatCode="_ * #,##0_ ;_ * \-#,##0_ ;_ * &quot;-&quot;??_ ;_ @_ "/>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numFmt numFmtId="164" formatCode="_ * #,##0_ ;_ * \-#,##0_ ;_ * &quot;-&quot;??_ ;_ @_ "/>
    </dxf>
    <dxf>
      <numFmt numFmtId="164" formatCode="_ * #,##0_ ;_ * \-#,##0_ ;_ * &quot;-&quot;??_ ;_ @_ "/>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numFmt numFmtId="164" formatCode="_ * #,##0_ ;_ * \-#,##0_ ;_ * &quot;-&quot;??_ ;_ @_ "/>
    </dxf>
    <dxf>
      <numFmt numFmtId="164" formatCode="_ * #,##0_ ;_ * \-#,##0_ ;_ * &quot;-&quot;??_ ;_ @_ "/>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numFmt numFmtId="164" formatCode="_ * #,##0_ ;_ * \-#,##0_ ;_ * &quot;-&quot;??_ ;_ @_ "/>
    </dxf>
    <dxf>
      <numFmt numFmtId="164" formatCode="_ * #,##0_ ;_ * \-#,##0_ ;_ * &quot;-&quot;??_ ;_ @_ "/>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numFmt numFmtId="164" formatCode="_ * #,##0_ ;_ * \-#,##0_ ;_ * &quot;-&quot;??_ ;_ @_ "/>
    </dxf>
    <dxf>
      <numFmt numFmtId="164" formatCode="_ * #,##0_ ;_ * \-#,##0_ ;_ * &quot;-&quot;??_ ;_ @_ "/>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numFmt numFmtId="164" formatCode="_ * #,##0_ ;_ * \-#,##0_ ;_ * &quot;-&quot;??_ ;_ @_ "/>
    </dxf>
    <dxf>
      <numFmt numFmtId="164" formatCode="_ * #,##0_ ;_ * \-#,##0_ ;_ * &quot;-&quot;??_ ;_ @_ "/>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numFmt numFmtId="164" formatCode="_ * #,##0_ ;_ * \-#,##0_ ;_ * &quot;-&quot;??_ ;_ @_ "/>
    </dxf>
    <dxf>
      <numFmt numFmtId="164" formatCode="_ * #,##0_ ;_ * \-#,##0_ ;_ * &quot;-&quot;??_ ;_ @_ "/>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numFmt numFmtId="164" formatCode="_ * #,##0_ ;_ * \-#,##0_ ;_ * &quot;-&quot;??_ ;_ @_ "/>
    </dxf>
    <dxf>
      <numFmt numFmtId="164" formatCode="_ * #,##0_ ;_ * \-#,##0_ ;_ * &quot;-&quot;??_ ;_ @_ "/>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numFmt numFmtId="164" formatCode="_ * #,##0_ ;_ * \-#,##0_ ;_ * &quot;-&quot;??_ ;_ @_ "/>
    </dxf>
    <dxf>
      <numFmt numFmtId="164" formatCode="_ * #,##0_ ;_ * \-#,##0_ ;_ * &quot;-&quot;??_ ;_ @_ "/>
    </dxf>
    <dxf>
      <font>
        <b val="0"/>
        <i val="0"/>
        <strike val="0"/>
        <condense val="0"/>
        <extend val="0"/>
        <outline val="0"/>
        <shadow val="0"/>
        <u val="none"/>
        <vertAlign val="baseline"/>
        <sz val="14"/>
        <color theme="1"/>
        <name val="Times New Roman"/>
        <family val="1"/>
        <scheme val="none"/>
      </font>
      <alignment horizontal="general" vertical="center" textRotation="0" wrapText="1" indent="0" justifyLastLine="0" shrinkToFit="0" readingOrder="0"/>
    </dxf>
    <dxf>
      <font>
        <b val="0"/>
        <i val="0"/>
        <strike val="0"/>
        <condense val="0"/>
        <extend val="0"/>
        <outline val="0"/>
        <shadow val="0"/>
        <u val="none"/>
        <vertAlign val="baseline"/>
        <sz val="14"/>
        <color theme="1"/>
        <name val="Times New Roman"/>
        <family val="1"/>
        <scheme val="none"/>
      </font>
      <alignment horizontal="general" vertical="center" textRotation="0" wrapText="1" indent="0" justifyLastLine="0" shrinkToFit="0" readingOrder="0"/>
    </dxf>
    <dxf>
      <font>
        <b val="0"/>
        <i val="0"/>
        <strike val="0"/>
        <condense val="0"/>
        <extend val="0"/>
        <outline val="0"/>
        <shadow val="0"/>
        <u val="none"/>
        <vertAlign val="baseline"/>
        <sz val="14"/>
        <color theme="1"/>
        <name val="Times New Roman"/>
        <family val="1"/>
        <scheme val="none"/>
      </font>
      <alignment horizontal="general" vertical="center" textRotation="0" wrapText="1" indent="0" justifyLastLine="0" shrinkToFit="0" readingOrder="0"/>
    </dxf>
    <dxf>
      <font>
        <b val="0"/>
        <i val="0"/>
        <strike val="0"/>
        <condense val="0"/>
        <extend val="0"/>
        <outline val="0"/>
        <shadow val="0"/>
        <u val="none"/>
        <vertAlign val="baseline"/>
        <sz val="14"/>
        <color theme="1"/>
        <name val="Times New Roman"/>
        <family val="1"/>
        <scheme val="none"/>
      </font>
      <alignment horizontal="general" vertical="center" textRotation="0" wrapText="1" indent="0" justifyLastLine="0" shrinkToFit="0" readingOrder="0"/>
    </dxf>
    <dxf>
      <font>
        <b val="0"/>
        <i val="0"/>
        <strike val="0"/>
        <condense val="0"/>
        <extend val="0"/>
        <outline val="0"/>
        <shadow val="0"/>
        <u val="none"/>
        <vertAlign val="baseline"/>
        <sz val="14"/>
        <color theme="1"/>
        <name val="Times New Roman"/>
        <family val="1"/>
        <scheme val="none"/>
      </font>
      <alignment horizontal="general" vertical="center" textRotation="0" wrapText="1" indent="0" justifyLastLine="0" shrinkToFit="0" readingOrder="0"/>
    </dxf>
    <dxf>
      <font>
        <b val="0"/>
        <i val="0"/>
        <strike val="0"/>
        <condense val="0"/>
        <extend val="0"/>
        <outline val="0"/>
        <shadow val="0"/>
        <u val="none"/>
        <vertAlign val="baseline"/>
        <sz val="14"/>
        <color theme="1"/>
        <name val="Times New Roman"/>
        <family val="1"/>
        <scheme val="none"/>
      </font>
    </dxf>
    <dxf>
      <font>
        <b val="0"/>
        <i val="0"/>
        <strike val="0"/>
        <condense val="0"/>
        <extend val="0"/>
        <outline val="0"/>
        <shadow val="0"/>
        <u val="none"/>
        <vertAlign val="baseline"/>
        <sz val="14"/>
        <color theme="1"/>
        <name val="Times New Roman"/>
        <family val="1"/>
        <scheme val="none"/>
      </font>
      <alignment horizontal="general" vertical="center" textRotation="0" wrapText="1" indent="0" justifyLastLine="0" shrinkToFit="0" readingOrder="0"/>
    </dxf>
    <dxf>
      <font>
        <b val="0"/>
        <i val="0"/>
        <strike val="0"/>
        <condense val="0"/>
        <extend val="0"/>
        <outline val="0"/>
        <shadow val="0"/>
        <u val="none"/>
        <vertAlign val="baseline"/>
        <sz val="14"/>
        <color theme="1"/>
        <name val="Times New Roman"/>
        <family val="1"/>
        <scheme val="none"/>
      </font>
      <alignment horizontal="general" vertical="center" textRotation="0" wrapText="1" indent="0" justifyLastLine="0" shrinkToFit="0" readingOrder="0"/>
    </dxf>
    <dxf>
      <font>
        <b/>
        <i val="0"/>
        <strike val="0"/>
        <condense val="0"/>
        <extend val="0"/>
        <outline val="0"/>
        <shadow val="0"/>
        <u val="none"/>
        <vertAlign val="baseline"/>
        <sz val="14"/>
        <color theme="1"/>
        <name val="Times New Roman"/>
        <family val="1"/>
        <scheme val="none"/>
      </font>
      <alignment horizontal="center" vertical="center" textRotation="0" wrapText="1"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1.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microsoft.com/office/2007/relationships/slicerCache" Target="slicerCaches/slicerCache2.xml"/><Relationship Id="rId4" Type="http://schemas.openxmlformats.org/officeDocument/2006/relationships/worksheet" Target="worksheets/sheet4.xml"/><Relationship Id="rId9" Type="http://schemas.microsoft.com/office/2007/relationships/slicerCache" Target="slicerCaches/slicerCache1.xml"/><Relationship Id="rId14"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[ESG Analytics Dashboard – India Top Companies.xlsm]Total Energy Trend!PivotTable1</c:name>
    <c:fmtId val="8"/>
  </c:pivotSource>
  <c:chart>
    <c:title>
      <c:tx>
        <c:rich>
          <a:bodyPr rot="0" spcFirstLastPara="1" vertOverflow="ellipsis" vert="horz" wrap="square" anchor="ctr" anchorCtr="1"/>
          <a:lstStyle/>
          <a:p>
            <a:pPr>
              <a:defRPr sz="1800" b="1" i="0" u="none" strike="noStrike" kern="1200" cap="all" spc="150" baseline="0">
                <a:solidFill>
                  <a:schemeClr val="tx1">
                    <a:lumMod val="50000"/>
                    <a:lumOff val="50000"/>
                  </a:schemeClr>
                </a:solidFill>
                <a:latin typeface="+mn-lt"/>
                <a:ea typeface="+mn-ea"/>
                <a:cs typeface="+mn-cs"/>
              </a:defRPr>
            </a:pPr>
            <a:r>
              <a:rPr lang="en-US"/>
              <a:t>GHG Emissions Comparison</a:t>
            </a:r>
          </a:p>
        </c:rich>
      </c:tx>
      <c:overlay val="0"/>
      <c:spPr>
        <a:noFill/>
        <a:ln>
          <a:noFill/>
        </a:ln>
        <a:effectLst/>
      </c:spPr>
      <c:txPr>
        <a:bodyPr rot="0" spcFirstLastPara="1" vertOverflow="ellipsis" vert="horz" wrap="square" anchor="ctr" anchorCtr="1"/>
        <a:lstStyle/>
        <a:p>
          <a:pPr>
            <a:defRPr sz="1800" b="1" i="0" u="none" strike="noStrike" kern="1200" cap="all" spc="150" baseline="0">
              <a:solidFill>
                <a:schemeClr val="tx1">
                  <a:lumMod val="50000"/>
                  <a:lumOff val="50000"/>
                </a:schemeClr>
              </a:solidFill>
              <a:latin typeface="+mn-lt"/>
              <a:ea typeface="+mn-ea"/>
              <a:cs typeface="+mn-cs"/>
            </a:defRPr>
          </a:pPr>
          <a:endParaRPr lang="en-US"/>
        </a:p>
      </c:txPr>
    </c:title>
    <c:autoTitleDeleted val="0"/>
    <c:pivotFmts>
      <c:pivotFmt>
        <c:idx val="0"/>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2"/>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3"/>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4"/>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pattFill prst="ltDnDiag">
            <a:fgClr>
              <a:schemeClr val="accent1"/>
            </a:fgClr>
            <a:bgClr>
              <a:schemeClr val="accent1">
                <a:lumMod val="20000"/>
                <a:lumOff val="80000"/>
              </a:schemeClr>
            </a:bgClr>
          </a:pattFill>
          <a:ln>
            <a:solidFill>
              <a:schemeClr val="accent1"/>
            </a:solidFill>
          </a:ln>
          <a:effectLst/>
          <a:sp3d>
            <a:contourClr>
              <a:schemeClr val="accen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0"/>
          <c:showSerName val="0"/>
          <c:showPercent val="0"/>
          <c:showBubbleSize val="0"/>
          <c:extLst>
            <c:ext xmlns:c15="http://schemas.microsoft.com/office/drawing/2012/chart" uri="{CE6537A1-D6FC-4f65-9D91-7224C49458BB}"/>
          </c:extLst>
        </c:dLbl>
      </c:pivotFmt>
      <c:pivotFmt>
        <c:idx val="6"/>
        <c:spPr>
          <a:pattFill prst="ltDnDiag">
            <a:fgClr>
              <a:schemeClr val="accent1"/>
            </a:fgClr>
            <a:bgClr>
              <a:schemeClr val="accent1">
                <a:lumMod val="20000"/>
                <a:lumOff val="80000"/>
              </a:schemeClr>
            </a:bgClr>
          </a:pattFill>
          <a:ln>
            <a:solidFill>
              <a:schemeClr val="accent1"/>
            </a:solidFill>
          </a:ln>
          <a:effectLst/>
          <a:sp3d>
            <a:contourClr>
              <a:schemeClr val="accent1"/>
            </a:contourClr>
          </a:sp3d>
        </c:spPr>
        <c:marker>
          <c:symbol val="none"/>
        </c:marker>
        <c:dLbl>
          <c:idx val="0"/>
          <c:dLblPos val="outEnd"/>
          <c:showLegendKey val="0"/>
          <c:showVal val="0"/>
          <c:showCatName val="0"/>
          <c:showSerName val="0"/>
          <c:showPercent val="0"/>
          <c:showBubbleSize val="0"/>
          <c:extLst>
            <c:ext xmlns:c15="http://schemas.microsoft.com/office/drawing/2012/chart" uri="{CE6537A1-D6FC-4f65-9D91-7224C49458BB}"/>
          </c:extLst>
        </c:dLbl>
      </c:pivotFmt>
      <c:pivotFmt>
        <c:idx val="7"/>
        <c:spPr>
          <a:pattFill prst="ltDnDiag">
            <a:fgClr>
              <a:schemeClr val="accent1"/>
            </a:fgClr>
            <a:bgClr>
              <a:schemeClr val="accent1">
                <a:lumMod val="20000"/>
                <a:lumOff val="80000"/>
              </a:schemeClr>
            </a:bgClr>
          </a:pattFill>
          <a:ln>
            <a:solidFill>
              <a:schemeClr val="accent1"/>
            </a:solidFill>
          </a:ln>
          <a:effectLst/>
          <a:sp3d>
            <a:contourClr>
              <a:schemeClr val="accen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0"/>
          <c:showSerName val="0"/>
          <c:showPercent val="0"/>
          <c:showBubbleSize val="0"/>
          <c:extLst>
            <c:ext xmlns:c15="http://schemas.microsoft.com/office/drawing/2012/chart" uri="{CE6537A1-D6FC-4f65-9D91-7224C49458BB}"/>
          </c:extLst>
        </c:dLbl>
      </c:pivotFmt>
      <c:pivotFmt>
        <c:idx val="8"/>
        <c:spPr>
          <a:pattFill prst="ltDnDiag">
            <a:fgClr>
              <a:schemeClr val="accent1"/>
            </a:fgClr>
            <a:bgClr>
              <a:schemeClr val="accent1">
                <a:lumMod val="20000"/>
                <a:lumOff val="80000"/>
              </a:schemeClr>
            </a:bgClr>
          </a:pattFill>
          <a:ln>
            <a:solidFill>
              <a:schemeClr val="accent1"/>
            </a:solidFill>
          </a:ln>
          <a:effectLst/>
          <a:sp3d>
            <a:contourClr>
              <a:schemeClr val="accen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
        <c:spPr>
          <a:pattFill prst="ltDnDiag">
            <a:fgClr>
              <a:schemeClr val="accent1"/>
            </a:fgClr>
            <a:bgClr>
              <a:schemeClr val="accent1">
                <a:lumMod val="20000"/>
                <a:lumOff val="80000"/>
              </a:schemeClr>
            </a:bgClr>
          </a:pattFill>
          <a:ln>
            <a:solidFill>
              <a:schemeClr val="accent1"/>
            </a:solidFill>
          </a:ln>
          <a:effectLst/>
          <a:sp3d>
            <a:contourClr>
              <a:schemeClr val="accen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0"/>
          <c:showSerName val="0"/>
          <c:showPercent val="0"/>
          <c:showBubbleSize val="0"/>
          <c:extLst>
            <c:ext xmlns:c15="http://schemas.microsoft.com/office/drawing/2012/chart" uri="{CE6537A1-D6FC-4f65-9D91-7224C49458BB}"/>
          </c:extLst>
        </c:dLbl>
      </c:pivotFmt>
    </c:pivotFmts>
    <c:view3D>
      <c:rotX val="10"/>
      <c:rotY val="0"/>
      <c:depthPercent val="100"/>
      <c:rAngAx val="0"/>
    </c:view3D>
    <c:floor>
      <c:thickness val="0"/>
      <c:spPr>
        <a:solidFill>
          <a:schemeClr val="lt1"/>
        </a:solid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'Total Energy Trend'!$B$4:$B$5</c:f>
              <c:strCache>
                <c:ptCount val="1"/>
                <c:pt idx="0">
                  <c:v>Adani Ports &amp; Special Economic Zone Ltd.</c:v>
                </c:pt>
              </c:strCache>
            </c:strRef>
          </c:tx>
          <c:spPr>
            <a:pattFill prst="ltDnDiag">
              <a:fgClr>
                <a:schemeClr val="accent1"/>
              </a:fgClr>
              <a:bgClr>
                <a:schemeClr val="accent1">
                  <a:lumMod val="20000"/>
                  <a:lumOff val="80000"/>
                </a:schemeClr>
              </a:bgClr>
            </a:pattFill>
            <a:ln>
              <a:solidFill>
                <a:schemeClr val="accent1"/>
              </a:solidFill>
            </a:ln>
            <a:effectLst/>
            <a:sp3d>
              <a:contourClr>
                <a:schemeClr val="accent1"/>
              </a:contourClr>
            </a:sp3d>
          </c:spPr>
          <c:invertIfNegative val="0"/>
          <c:cat>
            <c:strRef>
              <c:f>'Total Energy Trend'!$A$6:$A$9</c:f>
              <c:strCache>
                <c:ptCount val="3"/>
                <c:pt idx="0">
                  <c:v>2021-22</c:v>
                </c:pt>
                <c:pt idx="1">
                  <c:v>2022-23</c:v>
                </c:pt>
                <c:pt idx="2">
                  <c:v>2023-24</c:v>
                </c:pt>
              </c:strCache>
            </c:strRef>
          </c:cat>
          <c:val>
            <c:numRef>
              <c:f>'Total Energy Trend'!$B$6:$B$9</c:f>
              <c:numCache>
                <c:formatCode>_ * #,##0_ ;_ * \-#,##0_ ;_ * "-"??_ ;_ @_ </c:formatCode>
                <c:ptCount val="3"/>
                <c:pt idx="0">
                  <c:v>2798837</c:v>
                </c:pt>
                <c:pt idx="1">
                  <c:v>3013408</c:v>
                </c:pt>
                <c:pt idx="2">
                  <c:v>3453000</c:v>
                </c:pt>
              </c:numCache>
            </c:numRef>
          </c:val>
          <c:extLst>
            <c:ext xmlns:c16="http://schemas.microsoft.com/office/drawing/2014/chart" uri="{C3380CC4-5D6E-409C-BE32-E72D297353CC}">
              <c16:uniqueId val="{00000000-F575-42C9-AFE0-E6D4DAB55621}"/>
            </c:ext>
          </c:extLst>
        </c:ser>
        <c:ser>
          <c:idx val="1"/>
          <c:order val="1"/>
          <c:tx>
            <c:strRef>
              <c:f>'Total Energy Trend'!$C$4:$C$5</c:f>
              <c:strCache>
                <c:ptCount val="1"/>
                <c:pt idx="0">
                  <c:v>Hindustan Unilever Limited</c:v>
                </c:pt>
              </c:strCache>
            </c:strRef>
          </c:tx>
          <c:spPr>
            <a:pattFill prst="ltDnDiag">
              <a:fgClr>
                <a:schemeClr val="accent2"/>
              </a:fgClr>
              <a:bgClr>
                <a:schemeClr val="accent2">
                  <a:lumMod val="20000"/>
                  <a:lumOff val="80000"/>
                </a:schemeClr>
              </a:bgClr>
            </a:pattFill>
            <a:ln>
              <a:solidFill>
                <a:schemeClr val="accent2"/>
              </a:solidFill>
            </a:ln>
            <a:effectLst/>
            <a:sp3d>
              <a:contourClr>
                <a:schemeClr val="accent2"/>
              </a:contourClr>
            </a:sp3d>
          </c:spPr>
          <c:invertIfNegative val="0"/>
          <c:cat>
            <c:strRef>
              <c:f>'Total Energy Trend'!$A$6:$A$9</c:f>
              <c:strCache>
                <c:ptCount val="3"/>
                <c:pt idx="0">
                  <c:v>2021-22</c:v>
                </c:pt>
                <c:pt idx="1">
                  <c:v>2022-23</c:v>
                </c:pt>
                <c:pt idx="2">
                  <c:v>2023-24</c:v>
                </c:pt>
              </c:strCache>
            </c:strRef>
          </c:cat>
          <c:val>
            <c:numRef>
              <c:f>'Total Energy Trend'!$C$6:$C$9</c:f>
              <c:numCache>
                <c:formatCode>_ * #,##0_ ;_ * \-#,##0_ ;_ * "-"??_ ;_ @_ </c:formatCode>
                <c:ptCount val="3"/>
                <c:pt idx="0">
                  <c:v>3702585</c:v>
                </c:pt>
                <c:pt idx="1">
                  <c:v>3719372</c:v>
                </c:pt>
                <c:pt idx="2">
                  <c:v>3726603</c:v>
                </c:pt>
              </c:numCache>
            </c:numRef>
          </c:val>
          <c:extLst>
            <c:ext xmlns:c16="http://schemas.microsoft.com/office/drawing/2014/chart" uri="{C3380CC4-5D6E-409C-BE32-E72D297353CC}">
              <c16:uniqueId val="{00000000-0A36-4615-8FE1-536AFEDE5216}"/>
            </c:ext>
          </c:extLst>
        </c:ser>
        <c:ser>
          <c:idx val="2"/>
          <c:order val="2"/>
          <c:tx>
            <c:strRef>
              <c:f>'Total Energy Trend'!$D$4:$D$5</c:f>
              <c:strCache>
                <c:ptCount val="1"/>
                <c:pt idx="0">
                  <c:v>Tata Motors</c:v>
                </c:pt>
              </c:strCache>
            </c:strRef>
          </c:tx>
          <c:spPr>
            <a:pattFill prst="ltDnDiag">
              <a:fgClr>
                <a:schemeClr val="accent3"/>
              </a:fgClr>
              <a:bgClr>
                <a:schemeClr val="accent3">
                  <a:lumMod val="20000"/>
                  <a:lumOff val="80000"/>
                </a:schemeClr>
              </a:bgClr>
            </a:pattFill>
            <a:ln>
              <a:solidFill>
                <a:schemeClr val="accent3"/>
              </a:solidFill>
            </a:ln>
            <a:effectLst/>
            <a:sp3d>
              <a:contourClr>
                <a:schemeClr val="accent3"/>
              </a:contourClr>
            </a:sp3d>
          </c:spPr>
          <c:invertIfNegative val="0"/>
          <c:cat>
            <c:strRef>
              <c:f>'Total Energy Trend'!$A$6:$A$9</c:f>
              <c:strCache>
                <c:ptCount val="3"/>
                <c:pt idx="0">
                  <c:v>2021-22</c:v>
                </c:pt>
                <c:pt idx="1">
                  <c:v>2022-23</c:v>
                </c:pt>
                <c:pt idx="2">
                  <c:v>2023-24</c:v>
                </c:pt>
              </c:strCache>
            </c:strRef>
          </c:cat>
          <c:val>
            <c:numRef>
              <c:f>'Total Energy Trend'!$D$6:$D$9</c:f>
              <c:numCache>
                <c:formatCode>_ * #,##0_ ;_ * \-#,##0_ ;_ * "-"??_ ;_ @_ </c:formatCode>
                <c:ptCount val="3"/>
                <c:pt idx="0">
                  <c:v>1754483</c:v>
                </c:pt>
                <c:pt idx="1">
                  <c:v>1883646</c:v>
                </c:pt>
                <c:pt idx="2">
                  <c:v>1911748</c:v>
                </c:pt>
              </c:numCache>
            </c:numRef>
          </c:val>
          <c:extLst>
            <c:ext xmlns:c16="http://schemas.microsoft.com/office/drawing/2014/chart" uri="{C3380CC4-5D6E-409C-BE32-E72D297353CC}">
              <c16:uniqueId val="{00000001-0A36-4615-8FE1-536AFEDE5216}"/>
            </c:ext>
          </c:extLst>
        </c:ser>
        <c:dLbls>
          <c:showLegendKey val="0"/>
          <c:showVal val="0"/>
          <c:showCatName val="0"/>
          <c:showSerName val="0"/>
          <c:showPercent val="0"/>
          <c:showBubbleSize val="0"/>
        </c:dLbls>
        <c:gapWidth val="160"/>
        <c:gapDepth val="0"/>
        <c:shape val="box"/>
        <c:axId val="1021716815"/>
        <c:axId val="1021711055"/>
        <c:axId val="0"/>
      </c:bar3DChart>
      <c:catAx>
        <c:axId val="1021716815"/>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21711055"/>
        <c:crosses val="autoZero"/>
        <c:auto val="1"/>
        <c:lblAlgn val="ctr"/>
        <c:lblOffset val="100"/>
        <c:noMultiLvlLbl val="0"/>
      </c:catAx>
      <c:valAx>
        <c:axId val="1021711055"/>
        <c:scaling>
          <c:orientation val="minMax"/>
        </c:scaling>
        <c:delete val="0"/>
        <c:axPos val="l"/>
        <c:numFmt formatCode="_ * #,##0_ ;_ * \-#,##0_ ;_ * &quot;-&quot;??_ ;_ @_ "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21716815"/>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[ESG Analytics Dashboard – India Top Companies.xlsm]GHG Emissions Comparison!PivotTable2</c:name>
    <c:fmtId val="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Total Energy Trend</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'GHG Emissions Comparison'!$B$4:$B$5</c:f>
              <c:strCache>
                <c:ptCount val="1"/>
                <c:pt idx="0">
                  <c:v>2021-22</c:v>
                </c:pt>
              </c:strCache>
            </c:strRef>
          </c:tx>
          <c:spPr>
            <a:solidFill>
              <a:schemeClr val="accent1"/>
            </a:solidFill>
            <a:ln>
              <a:noFill/>
            </a:ln>
            <a:effectLst/>
          </c:spPr>
          <c:invertIfNegative val="0"/>
          <c:cat>
            <c:strRef>
              <c:f>'GHG Emissions Comparison'!$A$6:$A$11</c:f>
              <c:strCache>
                <c:ptCount val="5"/>
                <c:pt idx="0">
                  <c:v>Adani Ports &amp; Special Economic Zone Ltd.</c:v>
                </c:pt>
                <c:pt idx="1">
                  <c:v>Grasim Industries Limited</c:v>
                </c:pt>
                <c:pt idx="2">
                  <c:v>Hindustan Unilever Limited</c:v>
                </c:pt>
                <c:pt idx="3">
                  <c:v>Reliance Industries Limited</c:v>
                </c:pt>
                <c:pt idx="4">
                  <c:v>Tata Motors</c:v>
                </c:pt>
              </c:strCache>
            </c:strRef>
          </c:cat>
          <c:val>
            <c:numRef>
              <c:f>'GHG Emissions Comparison'!$B$6:$B$11</c:f>
              <c:numCache>
                <c:formatCode>_ * #,##0_ ;_ * \-#,##0_ ;_ * "-"??_ ;_ @_ </c:formatCode>
                <c:ptCount val="5"/>
                <c:pt idx="0">
                  <c:v>322501</c:v>
                </c:pt>
                <c:pt idx="1">
                  <c:v>5960000</c:v>
                </c:pt>
                <c:pt idx="2">
                  <c:v>32110</c:v>
                </c:pt>
                <c:pt idx="3">
                  <c:v>38091188</c:v>
                </c:pt>
                <c:pt idx="4">
                  <c:v>226040</c:v>
                </c:pt>
              </c:numCache>
            </c:numRef>
          </c:val>
          <c:extLst>
            <c:ext xmlns:c16="http://schemas.microsoft.com/office/drawing/2014/chart" uri="{C3380CC4-5D6E-409C-BE32-E72D297353CC}">
              <c16:uniqueId val="{00000000-4F37-4D64-9E17-D31B0E9245DB}"/>
            </c:ext>
          </c:extLst>
        </c:ser>
        <c:ser>
          <c:idx val="1"/>
          <c:order val="1"/>
          <c:tx>
            <c:strRef>
              <c:f>'GHG Emissions Comparison'!$C$4:$C$5</c:f>
              <c:strCache>
                <c:ptCount val="1"/>
                <c:pt idx="0">
                  <c:v>2022-23</c:v>
                </c:pt>
              </c:strCache>
            </c:strRef>
          </c:tx>
          <c:spPr>
            <a:solidFill>
              <a:schemeClr val="accent2"/>
            </a:solidFill>
            <a:ln>
              <a:noFill/>
            </a:ln>
            <a:effectLst/>
          </c:spPr>
          <c:invertIfNegative val="0"/>
          <c:cat>
            <c:strRef>
              <c:f>'GHG Emissions Comparison'!$A$6:$A$11</c:f>
              <c:strCache>
                <c:ptCount val="5"/>
                <c:pt idx="0">
                  <c:v>Adani Ports &amp; Special Economic Zone Ltd.</c:v>
                </c:pt>
                <c:pt idx="1">
                  <c:v>Grasim Industries Limited</c:v>
                </c:pt>
                <c:pt idx="2">
                  <c:v>Hindustan Unilever Limited</c:v>
                </c:pt>
                <c:pt idx="3">
                  <c:v>Reliance Industries Limited</c:v>
                </c:pt>
                <c:pt idx="4">
                  <c:v>Tata Motors</c:v>
                </c:pt>
              </c:strCache>
            </c:strRef>
          </c:cat>
          <c:val>
            <c:numRef>
              <c:f>'GHG Emissions Comparison'!$C$6:$C$11</c:f>
              <c:numCache>
                <c:formatCode>_ * #,##0_ ;_ * \-#,##0_ ;_ * "-"??_ ;_ @_ </c:formatCode>
                <c:ptCount val="5"/>
                <c:pt idx="0">
                  <c:v>383053</c:v>
                </c:pt>
                <c:pt idx="1">
                  <c:v>6340000</c:v>
                </c:pt>
                <c:pt idx="2">
                  <c:v>20165</c:v>
                </c:pt>
                <c:pt idx="3">
                  <c:v>37945728</c:v>
                </c:pt>
                <c:pt idx="4">
                  <c:v>227594</c:v>
                </c:pt>
              </c:numCache>
            </c:numRef>
          </c:val>
          <c:extLst>
            <c:ext xmlns:c16="http://schemas.microsoft.com/office/drawing/2014/chart" uri="{C3380CC4-5D6E-409C-BE32-E72D297353CC}">
              <c16:uniqueId val="{00000001-4F37-4D64-9E17-D31B0E9245DB}"/>
            </c:ext>
          </c:extLst>
        </c:ser>
        <c:ser>
          <c:idx val="2"/>
          <c:order val="2"/>
          <c:tx>
            <c:strRef>
              <c:f>'GHG Emissions Comparison'!$D$4:$D$5</c:f>
              <c:strCache>
                <c:ptCount val="1"/>
                <c:pt idx="0">
                  <c:v>2023-24</c:v>
                </c:pt>
              </c:strCache>
            </c:strRef>
          </c:tx>
          <c:spPr>
            <a:solidFill>
              <a:schemeClr val="accent3"/>
            </a:solidFill>
            <a:ln>
              <a:noFill/>
            </a:ln>
            <a:effectLst/>
          </c:spPr>
          <c:invertIfNegative val="0"/>
          <c:cat>
            <c:strRef>
              <c:f>'GHG Emissions Comparison'!$A$6:$A$11</c:f>
              <c:strCache>
                <c:ptCount val="5"/>
                <c:pt idx="0">
                  <c:v>Adani Ports &amp; Special Economic Zone Ltd.</c:v>
                </c:pt>
                <c:pt idx="1">
                  <c:v>Grasim Industries Limited</c:v>
                </c:pt>
                <c:pt idx="2">
                  <c:v>Hindustan Unilever Limited</c:v>
                </c:pt>
                <c:pt idx="3">
                  <c:v>Reliance Industries Limited</c:v>
                </c:pt>
                <c:pt idx="4">
                  <c:v>Tata Motors</c:v>
                </c:pt>
              </c:strCache>
            </c:strRef>
          </c:cat>
          <c:val>
            <c:numRef>
              <c:f>'GHG Emissions Comparison'!$D$6:$D$11</c:f>
              <c:numCache>
                <c:formatCode>_ * #,##0_ ;_ * \-#,##0_ ;_ * "-"??_ ;_ @_ </c:formatCode>
                <c:ptCount val="5"/>
                <c:pt idx="0">
                  <c:v>469625</c:v>
                </c:pt>
                <c:pt idx="1">
                  <c:v>6500000</c:v>
                </c:pt>
                <c:pt idx="2">
                  <c:v>14718</c:v>
                </c:pt>
                <c:pt idx="3">
                  <c:v>37682039</c:v>
                </c:pt>
                <c:pt idx="4">
                  <c:v>208074</c:v>
                </c:pt>
              </c:numCache>
            </c:numRef>
          </c:val>
          <c:extLst>
            <c:ext xmlns:c16="http://schemas.microsoft.com/office/drawing/2014/chart" uri="{C3380CC4-5D6E-409C-BE32-E72D297353CC}">
              <c16:uniqueId val="{00000002-4F37-4D64-9E17-D31B0E9245DB}"/>
            </c:ext>
          </c:extLst>
        </c:ser>
        <c:dLbls>
          <c:showLegendKey val="0"/>
          <c:showVal val="0"/>
          <c:showCatName val="0"/>
          <c:showSerName val="0"/>
          <c:showPercent val="0"/>
          <c:showBubbleSize val="0"/>
        </c:dLbls>
        <c:gapWidth val="150"/>
        <c:axId val="1125062943"/>
        <c:axId val="1125061503"/>
      </c:barChart>
      <c:catAx>
        <c:axId val="112506294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25061503"/>
        <c:crosses val="autoZero"/>
        <c:auto val="1"/>
        <c:lblAlgn val="ctr"/>
        <c:lblOffset val="100"/>
        <c:noMultiLvlLbl val="0"/>
      </c:catAx>
      <c:valAx>
        <c:axId val="1125061503"/>
        <c:scaling>
          <c:orientation val="minMax"/>
        </c:scaling>
        <c:delete val="0"/>
        <c:axPos val="l"/>
        <c:majorGridlines>
          <c:spPr>
            <a:ln w="9525" cap="flat" cmpd="sng" algn="ctr">
              <a:solidFill>
                <a:schemeClr val="tx1">
                  <a:lumMod val="15000"/>
                  <a:lumOff val="85000"/>
                </a:schemeClr>
              </a:solidFill>
              <a:round/>
            </a:ln>
            <a:effectLst/>
          </c:spPr>
        </c:majorGridlines>
        <c:numFmt formatCode="_ * #,##0_ ;_ * \-#,##0_ ;_ * &quot;-&quot;??_ ;_ @_ "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25062943"/>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[ESG Analytics Dashboard – India Top Companies.xlsm]Water withdrawal stacked chart!PivotTable3</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Water withdrawal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'Water withdrawal stacked chart'!$B$4:$B$5</c:f>
              <c:strCache>
                <c:ptCount val="1"/>
                <c:pt idx="0">
                  <c:v>2021-22</c:v>
                </c:pt>
              </c:strCache>
            </c:strRef>
          </c:tx>
          <c:spPr>
            <a:solidFill>
              <a:schemeClr val="accent1"/>
            </a:solidFill>
            <a:ln>
              <a:noFill/>
            </a:ln>
            <a:effectLst/>
          </c:spPr>
          <c:invertIfNegative val="0"/>
          <c:cat>
            <c:strRef>
              <c:f>'Water withdrawal stacked chart'!$A$6:$A$13</c:f>
              <c:strCache>
                <c:ptCount val="7"/>
                <c:pt idx="0">
                  <c:v>Groundwater Withdrawal</c:v>
                </c:pt>
                <c:pt idx="1">
                  <c:v>Other Water Sources</c:v>
                </c:pt>
                <c:pt idx="2">
                  <c:v>Seawater / Desalinated Water</c:v>
                </c:pt>
                <c:pt idx="3">
                  <c:v>Surface Water Withdrawal</c:v>
                </c:pt>
                <c:pt idx="4">
                  <c:v>Third-party Water</c:v>
                </c:pt>
                <c:pt idx="5">
                  <c:v>Total Water Consumption</c:v>
                </c:pt>
                <c:pt idx="6">
                  <c:v>Total Water Withdrawal</c:v>
                </c:pt>
              </c:strCache>
            </c:strRef>
          </c:cat>
          <c:val>
            <c:numRef>
              <c:f>'Water withdrawal stacked chart'!$B$6:$B$13</c:f>
              <c:numCache>
                <c:formatCode>_ * #,##0_ ;_ * \-#,##0_ ;_ * "-"??_ ;_ @_ </c:formatCode>
                <c:ptCount val="7"/>
                <c:pt idx="0">
                  <c:v>221382</c:v>
                </c:pt>
                <c:pt idx="1">
                  <c:v>1731042</c:v>
                </c:pt>
                <c:pt idx="2">
                  <c:v>1027249</c:v>
                </c:pt>
                <c:pt idx="3">
                  <c:v>347547</c:v>
                </c:pt>
                <c:pt idx="4">
                  <c:v>2174306</c:v>
                </c:pt>
                <c:pt idx="5">
                  <c:v>4731107</c:v>
                </c:pt>
                <c:pt idx="6">
                  <c:v>5501526</c:v>
                </c:pt>
              </c:numCache>
            </c:numRef>
          </c:val>
          <c:extLst>
            <c:ext xmlns:c16="http://schemas.microsoft.com/office/drawing/2014/chart" uri="{C3380CC4-5D6E-409C-BE32-E72D297353CC}">
              <c16:uniqueId val="{00000000-9356-4E9E-B327-47360E0A2C29}"/>
            </c:ext>
          </c:extLst>
        </c:ser>
        <c:ser>
          <c:idx val="1"/>
          <c:order val="1"/>
          <c:tx>
            <c:strRef>
              <c:f>'Water withdrawal stacked chart'!$C$4:$C$5</c:f>
              <c:strCache>
                <c:ptCount val="1"/>
                <c:pt idx="0">
                  <c:v>2022-23</c:v>
                </c:pt>
              </c:strCache>
            </c:strRef>
          </c:tx>
          <c:spPr>
            <a:solidFill>
              <a:schemeClr val="accent2"/>
            </a:solidFill>
            <a:ln>
              <a:noFill/>
            </a:ln>
            <a:effectLst/>
          </c:spPr>
          <c:invertIfNegative val="0"/>
          <c:cat>
            <c:strRef>
              <c:f>'Water withdrawal stacked chart'!$A$6:$A$13</c:f>
              <c:strCache>
                <c:ptCount val="7"/>
                <c:pt idx="0">
                  <c:v>Groundwater Withdrawal</c:v>
                </c:pt>
                <c:pt idx="1">
                  <c:v>Other Water Sources</c:v>
                </c:pt>
                <c:pt idx="2">
                  <c:v>Seawater / Desalinated Water</c:v>
                </c:pt>
                <c:pt idx="3">
                  <c:v>Surface Water Withdrawal</c:v>
                </c:pt>
                <c:pt idx="4">
                  <c:v>Third-party Water</c:v>
                </c:pt>
                <c:pt idx="5">
                  <c:v>Total Water Consumption</c:v>
                </c:pt>
                <c:pt idx="6">
                  <c:v>Total Water Withdrawal</c:v>
                </c:pt>
              </c:strCache>
            </c:strRef>
          </c:cat>
          <c:val>
            <c:numRef>
              <c:f>'Water withdrawal stacked chart'!$C$6:$C$13</c:f>
              <c:numCache>
                <c:formatCode>_ * #,##0_ ;_ * \-#,##0_ ;_ * "-"??_ ;_ @_ </c:formatCode>
                <c:ptCount val="7"/>
                <c:pt idx="0">
                  <c:v>366769</c:v>
                </c:pt>
                <c:pt idx="1">
                  <c:v>960739</c:v>
                </c:pt>
                <c:pt idx="2">
                  <c:v>1241295</c:v>
                </c:pt>
                <c:pt idx="3">
                  <c:v>839237</c:v>
                </c:pt>
                <c:pt idx="4">
                  <c:v>2832089</c:v>
                </c:pt>
                <c:pt idx="5">
                  <c:v>5590749</c:v>
                </c:pt>
                <c:pt idx="6">
                  <c:v>6240130</c:v>
                </c:pt>
              </c:numCache>
            </c:numRef>
          </c:val>
          <c:extLst>
            <c:ext xmlns:c16="http://schemas.microsoft.com/office/drawing/2014/chart" uri="{C3380CC4-5D6E-409C-BE32-E72D297353CC}">
              <c16:uniqueId val="{00000001-9356-4E9E-B327-47360E0A2C29}"/>
            </c:ext>
          </c:extLst>
        </c:ser>
        <c:ser>
          <c:idx val="2"/>
          <c:order val="2"/>
          <c:tx>
            <c:strRef>
              <c:f>'Water withdrawal stacked chart'!$D$4:$D$5</c:f>
              <c:strCache>
                <c:ptCount val="1"/>
                <c:pt idx="0">
                  <c:v>2023-24</c:v>
                </c:pt>
              </c:strCache>
            </c:strRef>
          </c:tx>
          <c:spPr>
            <a:solidFill>
              <a:schemeClr val="accent3"/>
            </a:solidFill>
            <a:ln>
              <a:noFill/>
            </a:ln>
            <a:effectLst/>
          </c:spPr>
          <c:invertIfNegative val="0"/>
          <c:cat>
            <c:strRef>
              <c:f>'Water withdrawal stacked chart'!$A$6:$A$13</c:f>
              <c:strCache>
                <c:ptCount val="7"/>
                <c:pt idx="0">
                  <c:v>Groundwater Withdrawal</c:v>
                </c:pt>
                <c:pt idx="1">
                  <c:v>Other Water Sources</c:v>
                </c:pt>
                <c:pt idx="2">
                  <c:v>Seawater / Desalinated Water</c:v>
                </c:pt>
                <c:pt idx="3">
                  <c:v>Surface Water Withdrawal</c:v>
                </c:pt>
                <c:pt idx="4">
                  <c:v>Third-party Water</c:v>
                </c:pt>
                <c:pt idx="5">
                  <c:v>Total Water Consumption</c:v>
                </c:pt>
                <c:pt idx="6">
                  <c:v>Total Water Withdrawal</c:v>
                </c:pt>
              </c:strCache>
            </c:strRef>
          </c:cat>
          <c:val>
            <c:numRef>
              <c:f>'Water withdrawal stacked chart'!$D$6:$D$13</c:f>
              <c:numCache>
                <c:formatCode>_ * #,##0_ ;_ * \-#,##0_ ;_ * "-"??_ ;_ @_ </c:formatCode>
                <c:ptCount val="7"/>
                <c:pt idx="0">
                  <c:v>410463</c:v>
                </c:pt>
                <c:pt idx="1">
                  <c:v>1220162</c:v>
                </c:pt>
                <c:pt idx="2">
                  <c:v>1778522</c:v>
                </c:pt>
                <c:pt idx="3">
                  <c:v>1350678</c:v>
                </c:pt>
                <c:pt idx="4">
                  <c:v>2938298</c:v>
                </c:pt>
                <c:pt idx="5">
                  <c:v>7036727</c:v>
                </c:pt>
                <c:pt idx="6">
                  <c:v>7698123</c:v>
                </c:pt>
              </c:numCache>
            </c:numRef>
          </c:val>
          <c:extLst>
            <c:ext xmlns:c16="http://schemas.microsoft.com/office/drawing/2014/chart" uri="{C3380CC4-5D6E-409C-BE32-E72D297353CC}">
              <c16:uniqueId val="{00000002-9356-4E9E-B327-47360E0A2C29}"/>
            </c:ext>
          </c:extLst>
        </c:ser>
        <c:dLbls>
          <c:showLegendKey val="0"/>
          <c:showVal val="0"/>
          <c:showCatName val="0"/>
          <c:showSerName val="0"/>
          <c:showPercent val="0"/>
          <c:showBubbleSize val="0"/>
        </c:dLbls>
        <c:gapWidth val="55"/>
        <c:overlap val="100"/>
        <c:axId val="1340168879"/>
        <c:axId val="1340166959"/>
      </c:barChart>
      <c:catAx>
        <c:axId val="134016887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40166959"/>
        <c:crosses val="autoZero"/>
        <c:auto val="1"/>
        <c:lblAlgn val="ctr"/>
        <c:lblOffset val="100"/>
        <c:noMultiLvlLbl val="0"/>
      </c:catAx>
      <c:valAx>
        <c:axId val="1340166959"/>
        <c:scaling>
          <c:orientation val="minMax"/>
        </c:scaling>
        <c:delete val="0"/>
        <c:axPos val="l"/>
        <c:majorGridlines>
          <c:spPr>
            <a:ln w="9525" cap="flat" cmpd="sng" algn="ctr">
              <a:solidFill>
                <a:schemeClr val="tx1">
                  <a:lumMod val="15000"/>
                  <a:lumOff val="85000"/>
                </a:schemeClr>
              </a:solidFill>
              <a:round/>
            </a:ln>
            <a:effectLst/>
          </c:spPr>
        </c:majorGridlines>
        <c:numFmt formatCode="_ * #,##0_ ;_ * \-#,##0_ ;_ * &quot;-&quot;??_ ;_ @_ "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40168879"/>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orientation="portrait"/>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87">
  <cs:axisTitle>
    <cs:lnRef idx="0"/>
    <cs:fillRef idx="0"/>
    <cs:effectRef idx="0"/>
    <cs:fontRef idx="minor">
      <a:schemeClr val="tx1">
        <a:lumMod val="65000"/>
        <a:lumOff val="35000"/>
      </a:schemeClr>
    </cs:fontRef>
    <cs:defRPr sz="900" b="1" kern="1200"/>
  </cs:axisTitle>
  <cs:categoryAxis>
    <cs:lnRef idx="0"/>
    <cs:fillRef idx="0"/>
    <cs:effectRef idx="0"/>
    <cs:fontRef idx="minor">
      <a:schemeClr val="tx1">
        <a:lumMod val="65000"/>
        <a:lumOff val="35000"/>
      </a:schemeClr>
    </cs:fontRef>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styleClr val="auto"/>
    </cs:effectRef>
    <cs:fontRef idx="minor">
      <a:schemeClr val="dk1"/>
    </cs:fontRef>
    <cs:spPr>
      <a:pattFill prst="narHorz">
        <a:fgClr>
          <a:schemeClr val="phClr"/>
        </a:fgClr>
        <a:bgClr>
          <a:schemeClr val="phClr">
            <a:lumMod val="20000"/>
            <a:lumOff val="80000"/>
          </a:schemeClr>
        </a:bgClr>
      </a:pattFill>
      <a:effectLst>
        <a:innerShdw blurRad="114300">
          <a:schemeClr val="phClr"/>
        </a:innerShdw>
      </a:effectLst>
    </cs:spPr>
  </cs:dataPoint>
  <cs:dataPoint3D>
    <cs:lnRef idx="0">
      <cs:styleClr val="auto"/>
    </cs:lnRef>
    <cs:fillRef idx="0">
      <cs:styleClr val="auto"/>
    </cs:fillRef>
    <cs:effectRef idx="0"/>
    <cs:fontRef idx="minor">
      <a:schemeClr val="tx1"/>
    </cs:fontRef>
    <cs:spPr>
      <a:pattFill prst="ltDnDiag">
        <a:fgClr>
          <a:schemeClr val="phClr"/>
        </a:fgClr>
        <a:bgClr>
          <a:schemeClr val="phClr">
            <a:lumMod val="20000"/>
            <a:lumOff val="80000"/>
          </a:schemeClr>
        </a:bgClr>
      </a:pattFill>
      <a:ln>
        <a:solidFill>
          <a:schemeClr val="phClr"/>
        </a:solidFill>
      </a:ln>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spPr>
      <a:solidFill>
        <a:schemeClr val="lt1"/>
      </a:solidFill>
      <a:sp3d/>
    </cs:spPr>
  </cs:floor>
  <cs:gridlineMajor>
    <cs:lnRef idx="0"/>
    <cs:fillRef idx="0"/>
    <cs:effectRef idx="0"/>
    <cs:fontRef idx="minor">
      <a:schemeClr val="dk1"/>
    </cs:fontRef>
    <cs:spPr>
      <a:ln>
        <a:solidFill>
          <a:schemeClr val="tx1">
            <a:lumMod val="15000"/>
            <a:lumOff val="85000"/>
          </a:schemeClr>
        </a:solidFill>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50000"/>
        <a:lumOff val="50000"/>
      </a:schemeClr>
    </cs:fontRef>
    <cs:defRPr sz="1800" b="1" kern="1200" cap="all" spc="15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1</xdr:col>
      <xdr:colOff>381000</xdr:colOff>
      <xdr:row>10</xdr:row>
      <xdr:rowOff>133350</xdr:rowOff>
    </xdr:from>
    <xdr:to>
      <xdr:col>1</xdr:col>
      <xdr:colOff>2209800</xdr:colOff>
      <xdr:row>23</xdr:row>
      <xdr:rowOff>180975</xdr:rowOff>
    </xdr:to>
    <mc:AlternateContent xmlns:mc="http://schemas.openxmlformats.org/markup-compatibility/2006" xmlns:a14="http://schemas.microsoft.com/office/drawing/2010/main">
      <mc:Choice Requires="a14">
        <xdr:graphicFrame macro="">
          <xdr:nvGraphicFramePr>
            <xdr:cNvPr id="2" name="Company 1">
              <a:extLst>
                <a:ext uri="{FF2B5EF4-FFF2-40B4-BE49-F238E27FC236}">
                  <a16:creationId xmlns:a16="http://schemas.microsoft.com/office/drawing/2014/main" id="{4FFD207C-A62D-7DCB-86D9-16C7AA376A7B}"/>
                </a:ext>
              </a:extLst>
            </xdr:cNvPr>
            <xdr:cNvGraphicFramePr/>
          </xdr:nvGraphicFramePr>
          <xdr:xfrm>
            <a:off x="0" y="0"/>
            <a:ext cx="0" cy="0"/>
          </xdr:xfrm>
          <a:graphic>
            <a:graphicData uri="http://schemas.microsoft.com/office/drawing/2010/slicer">
              <sle:slicer xmlns:sle="http://schemas.microsoft.com/office/drawing/2010/slicer" name="Company 1"/>
            </a:graphicData>
          </a:graphic>
        </xdr:graphicFrame>
      </mc:Choice>
      <mc:Fallback xmlns="">
        <xdr:sp macro="" textlink="">
          <xdr:nvSpPr>
            <xdr:cNvPr id="0" name=""/>
            <xdr:cNvSpPr>
              <a:spLocks noTextEdit="1"/>
            </xdr:cNvSpPr>
          </xdr:nvSpPr>
          <xdr:spPr>
            <a:xfrm>
              <a:off x="1552575" y="24669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2657475</xdr:colOff>
      <xdr:row>11</xdr:row>
      <xdr:rowOff>28575</xdr:rowOff>
    </xdr:from>
    <xdr:to>
      <xdr:col>2</xdr:col>
      <xdr:colOff>952500</xdr:colOff>
      <xdr:row>24</xdr:row>
      <xdr:rowOff>76200</xdr:rowOff>
    </xdr:to>
    <mc:AlternateContent xmlns:mc="http://schemas.openxmlformats.org/markup-compatibility/2006" xmlns:a14="http://schemas.microsoft.com/office/drawing/2010/main">
      <mc:Choice Requires="a14">
        <xdr:graphicFrame macro="">
          <xdr:nvGraphicFramePr>
            <xdr:cNvPr id="4" name="Year 1">
              <a:extLst>
                <a:ext uri="{FF2B5EF4-FFF2-40B4-BE49-F238E27FC236}">
                  <a16:creationId xmlns:a16="http://schemas.microsoft.com/office/drawing/2014/main" id="{CEB2A41A-CAD2-6F45-2447-2000B89054D1}"/>
                </a:ext>
              </a:extLst>
            </xdr:cNvPr>
            <xdr:cNvGraphicFramePr/>
          </xdr:nvGraphicFramePr>
          <xdr:xfrm>
            <a:off x="0" y="0"/>
            <a:ext cx="0" cy="0"/>
          </xdr:xfrm>
          <a:graphic>
            <a:graphicData uri="http://schemas.microsoft.com/office/drawing/2010/slicer">
              <sle:slicer xmlns:sle="http://schemas.microsoft.com/office/drawing/2010/slicer" name="Year 1"/>
            </a:graphicData>
          </a:graphic>
        </xdr:graphicFrame>
      </mc:Choice>
      <mc:Fallback xmlns="">
        <xdr:sp macro="" textlink="">
          <xdr:nvSpPr>
            <xdr:cNvPr id="0" name=""/>
            <xdr:cNvSpPr>
              <a:spLocks noTextEdit="1"/>
            </xdr:cNvSpPr>
          </xdr:nvSpPr>
          <xdr:spPr>
            <a:xfrm>
              <a:off x="3448050" y="255270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15</xdr:col>
      <xdr:colOff>38100</xdr:colOff>
      <xdr:row>2</xdr:row>
      <xdr:rowOff>171449</xdr:rowOff>
    </xdr:from>
    <xdr:to>
      <xdr:col>24</xdr:col>
      <xdr:colOff>38100</xdr:colOff>
      <xdr:row>20</xdr:row>
      <xdr:rowOff>238124</xdr:rowOff>
    </xdr:to>
    <xdr:graphicFrame macro="">
      <xdr:nvGraphicFramePr>
        <xdr:cNvPr id="2" name="Total Energy Trend">
          <a:extLst>
            <a:ext uri="{FF2B5EF4-FFF2-40B4-BE49-F238E27FC236}">
              <a16:creationId xmlns:a16="http://schemas.microsoft.com/office/drawing/2014/main" id="{E98E37D1-A2FD-6BD8-8253-8FFDFC755FF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9525</xdr:colOff>
      <xdr:row>5</xdr:row>
      <xdr:rowOff>152400</xdr:rowOff>
    </xdr:from>
    <xdr:to>
      <xdr:col>5</xdr:col>
      <xdr:colOff>104775</xdr:colOff>
      <xdr:row>20</xdr:row>
      <xdr:rowOff>47625</xdr:rowOff>
    </xdr:to>
    <xdr:graphicFrame macro="">
      <xdr:nvGraphicFramePr>
        <xdr:cNvPr id="3" name="GHG Emissions Comparison">
          <a:extLst>
            <a:ext uri="{FF2B5EF4-FFF2-40B4-BE49-F238E27FC236}">
              <a16:creationId xmlns:a16="http://schemas.microsoft.com/office/drawing/2014/main" id="{F3AFC146-E211-119B-BE75-2D4C90BEDBC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371475</xdr:colOff>
      <xdr:row>2</xdr:row>
      <xdr:rowOff>200024</xdr:rowOff>
    </xdr:from>
    <xdr:to>
      <xdr:col>14</xdr:col>
      <xdr:colOff>66675</xdr:colOff>
      <xdr:row>20</xdr:row>
      <xdr:rowOff>228600</xdr:rowOff>
    </xdr:to>
    <xdr:graphicFrame macro="">
      <xdr:nvGraphicFramePr>
        <xdr:cNvPr id="4" name="Water withdrawal">
          <a:extLst>
            <a:ext uri="{FF2B5EF4-FFF2-40B4-BE49-F238E27FC236}">
              <a16:creationId xmlns:a16="http://schemas.microsoft.com/office/drawing/2014/main" id="{B2495291-D53C-8825-6477-2CC8D194A27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57150</xdr:colOff>
      <xdr:row>21</xdr:row>
      <xdr:rowOff>95250</xdr:rowOff>
    </xdr:from>
    <xdr:to>
      <xdr:col>12</xdr:col>
      <xdr:colOff>257175</xdr:colOff>
      <xdr:row>22</xdr:row>
      <xdr:rowOff>190500</xdr:rowOff>
    </xdr:to>
    <xdr:sp macro="[0]!RefreshAndExportDashboard" textlink="">
      <xdr:nvSpPr>
        <xdr:cNvPr id="6" name="Rectangle 5">
          <a:extLst>
            <a:ext uri="{FF2B5EF4-FFF2-40B4-BE49-F238E27FC236}">
              <a16:creationId xmlns:a16="http://schemas.microsoft.com/office/drawing/2014/main" id="{819BB009-AB37-45D6-A463-89B449183522}"/>
            </a:ext>
          </a:extLst>
        </xdr:cNvPr>
        <xdr:cNvSpPr/>
      </xdr:nvSpPr>
      <xdr:spPr>
        <a:xfrm>
          <a:off x="7496175" y="5095875"/>
          <a:ext cx="2028825" cy="333375"/>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b="1"/>
            <a:t>Refresh &amp; Export Dashboard</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257176</xdr:colOff>
      <xdr:row>4</xdr:row>
      <xdr:rowOff>66675</xdr:rowOff>
    </xdr:from>
    <xdr:to>
      <xdr:col>8</xdr:col>
      <xdr:colOff>295276</xdr:colOff>
      <xdr:row>6</xdr:row>
      <xdr:rowOff>19050</xdr:rowOff>
    </xdr:to>
    <xdr:sp macro="[0]!RefreshAndExportDashboard" textlink="">
      <xdr:nvSpPr>
        <xdr:cNvPr id="2" name="Rectangle 1">
          <a:extLst>
            <a:ext uri="{FF2B5EF4-FFF2-40B4-BE49-F238E27FC236}">
              <a16:creationId xmlns:a16="http://schemas.microsoft.com/office/drawing/2014/main" id="{3E8BCCE5-8AB0-16C2-EB0B-D6F1E0B92290}"/>
            </a:ext>
          </a:extLst>
        </xdr:cNvPr>
        <xdr:cNvSpPr/>
      </xdr:nvSpPr>
      <xdr:spPr>
        <a:xfrm>
          <a:off x="3305176" y="828675"/>
          <a:ext cx="1866900" cy="333375"/>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t>Refresh &amp; Export Dashboard</a:t>
          </a:r>
          <a:endParaRPr lang="en-US" sz="1100"/>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SUS" refreshedDate="46003.620171527778" createdVersion="8" refreshedVersion="8" minRefreshableVersion="3" recordCount="489" xr:uid="{BA7F188C-07DF-4248-B2E8-B55284ABEC01}">
  <cacheSource type="worksheet">
    <worksheetSource name="ESG_DATA"/>
  </cacheSource>
  <cacheFields count="7">
    <cacheField name="Company" numFmtId="0">
      <sharedItems count="5">
        <s v="Adani Ports &amp; Special Economic Zone Ltd."/>
        <s v="Grasim Industries Limited"/>
        <s v="Hindustan Unilever Limited"/>
        <s v="Reliance Industries Limited"/>
        <s v="Tata Motors"/>
      </sharedItems>
    </cacheField>
    <cacheField name="Company Code" numFmtId="0">
      <sharedItems/>
    </cacheField>
    <cacheField name="Year" numFmtId="0">
      <sharedItems count="3">
        <s v="2021-22"/>
        <s v="2022-23"/>
        <s v="2023-24"/>
      </sharedItems>
    </cacheField>
    <cacheField name="Metric" numFmtId="0">
      <sharedItems count="5">
        <s v="Energy"/>
        <s v="Water"/>
        <s v="Air Emissions"/>
        <s v="GHG Emissions"/>
        <s v="Waste"/>
      </sharedItems>
    </cacheField>
    <cacheField name="Sub-Metric" numFmtId="0">
      <sharedItems count="38">
        <s v="Electricity Consumption"/>
        <s v="Fuel Consumption"/>
        <s v="Total Energy Consumption"/>
        <s v="Surface Water Withdrawal"/>
        <s v="Groundwater Withdrawal"/>
        <s v="Third-party Water"/>
        <s v="Seawater / Desalinated Water"/>
        <s v="Other Water Sources"/>
        <s v="Total Water Withdrawal"/>
        <s v="Total Water Consumption"/>
        <s v="NOx"/>
        <s v="SOx"/>
        <s v="Particulate Matter (PM)"/>
        <s v="Scope 1"/>
        <s v="Scope 2"/>
        <s v="Scope 1+2"/>
        <s v="Plastic Waste"/>
        <s v="E-Waste"/>
        <s v="Bio-Medical Waste"/>
        <s v="Battery Waste"/>
        <s v="Other Hazardous Waste"/>
        <s v="Other Non-Hazardous Waste"/>
        <s v="Total Waste Generated"/>
        <s v="Waste Recycled"/>
        <s v="Waste Reused"/>
        <s v="Other Recovery"/>
        <s v="Total Waste Recovered"/>
        <s v="Incineration Disposal"/>
        <s v="Landfilling Disposal"/>
        <s v="Other Disposal"/>
        <s v="Total Waste Disposed"/>
        <s v="Construction &amp; Demolition Waste"/>
        <s v="Waste Re-used"/>
        <s v="Other Disposal Operations"/>
        <s v="Other Energy Consumption"/>
        <s v="ODS (CFC-11 eq)"/>
        <s v="Incineration"/>
        <s v="Landfilling"/>
      </sharedItems>
    </cacheField>
    <cacheField name="Unit" numFmtId="0">
      <sharedItems/>
    </cacheField>
    <cacheField name="Value" numFmtId="0">
      <sharedItems containsSemiMixedTypes="0" containsString="0" containsNumber="1" minValue="0" maxValue="546600000"/>
    </cacheField>
  </cacheFields>
  <extLst>
    <ext xmlns:x14="http://schemas.microsoft.com/office/spreadsheetml/2009/9/main" uri="{725AE2AE-9491-48be-B2B4-4EB974FC3084}">
      <x14:pivotCacheDefinition pivotCacheId="2053647382"/>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89">
  <r>
    <x v="0"/>
    <s v="APSEZL"/>
    <x v="0"/>
    <x v="0"/>
    <x v="0"/>
    <s v="GJ"/>
    <n v="1086392"/>
  </r>
  <r>
    <x v="0"/>
    <s v="APSEZL"/>
    <x v="0"/>
    <x v="0"/>
    <x v="1"/>
    <s v="GJ"/>
    <n v="1712444"/>
  </r>
  <r>
    <x v="0"/>
    <s v="APSEZL"/>
    <x v="0"/>
    <x v="0"/>
    <x v="2"/>
    <s v="GJ"/>
    <n v="2798837"/>
  </r>
  <r>
    <x v="0"/>
    <s v="APSEZL"/>
    <x v="0"/>
    <x v="1"/>
    <x v="3"/>
    <s v="kL"/>
    <n v="347547"/>
  </r>
  <r>
    <x v="0"/>
    <s v="APSEZL"/>
    <x v="0"/>
    <x v="1"/>
    <x v="4"/>
    <s v="kL"/>
    <n v="221382"/>
  </r>
  <r>
    <x v="0"/>
    <s v="APSEZL"/>
    <x v="0"/>
    <x v="1"/>
    <x v="5"/>
    <s v="kL"/>
    <n v="2174306"/>
  </r>
  <r>
    <x v="0"/>
    <s v="APSEZL"/>
    <x v="0"/>
    <x v="1"/>
    <x v="6"/>
    <s v="kL"/>
    <n v="1027249"/>
  </r>
  <r>
    <x v="0"/>
    <s v="APSEZL"/>
    <x v="0"/>
    <x v="1"/>
    <x v="7"/>
    <s v="kL"/>
    <n v="1731042"/>
  </r>
  <r>
    <x v="0"/>
    <s v="APSEZL"/>
    <x v="0"/>
    <x v="1"/>
    <x v="8"/>
    <s v="kL"/>
    <n v="5501526"/>
  </r>
  <r>
    <x v="0"/>
    <s v="APSEZL"/>
    <x v="0"/>
    <x v="1"/>
    <x v="9"/>
    <s v="kL"/>
    <n v="4731107"/>
  </r>
  <r>
    <x v="0"/>
    <s v="APSEZL"/>
    <x v="0"/>
    <x v="2"/>
    <x v="10"/>
    <s v="µg/m³"/>
    <n v="20.55"/>
  </r>
  <r>
    <x v="0"/>
    <s v="APSEZL"/>
    <x v="0"/>
    <x v="2"/>
    <x v="11"/>
    <s v="µg/m³"/>
    <n v="11.43"/>
  </r>
  <r>
    <x v="0"/>
    <s v="APSEZL"/>
    <x v="0"/>
    <x v="2"/>
    <x v="12"/>
    <s v="µg/m³"/>
    <n v="56.99"/>
  </r>
  <r>
    <x v="0"/>
    <s v="APSEZL"/>
    <x v="0"/>
    <x v="3"/>
    <x v="13"/>
    <s v="tCO₂e"/>
    <n v="129438"/>
  </r>
  <r>
    <x v="0"/>
    <s v="APSEZL"/>
    <x v="0"/>
    <x v="3"/>
    <x v="14"/>
    <s v="tCO₂e"/>
    <n v="193063"/>
  </r>
  <r>
    <x v="0"/>
    <s v="APSEZL"/>
    <x v="0"/>
    <x v="3"/>
    <x v="15"/>
    <s v="tCO₂e"/>
    <n v="322501"/>
  </r>
  <r>
    <x v="0"/>
    <s v="APSEZL"/>
    <x v="0"/>
    <x v="4"/>
    <x v="16"/>
    <s v="MT"/>
    <n v="176.19"/>
  </r>
  <r>
    <x v="0"/>
    <s v="APSEZL"/>
    <x v="0"/>
    <x v="4"/>
    <x v="17"/>
    <s v="MT"/>
    <n v="50.93"/>
  </r>
  <r>
    <x v="0"/>
    <s v="APSEZL"/>
    <x v="0"/>
    <x v="4"/>
    <x v="18"/>
    <s v="MT"/>
    <n v="6.9"/>
  </r>
  <r>
    <x v="0"/>
    <s v="APSEZL"/>
    <x v="0"/>
    <x v="4"/>
    <x v="19"/>
    <s v="MT"/>
    <n v="35.1"/>
  </r>
  <r>
    <x v="0"/>
    <s v="APSEZL"/>
    <x v="0"/>
    <x v="4"/>
    <x v="20"/>
    <s v="MT"/>
    <n v="1052"/>
  </r>
  <r>
    <x v="0"/>
    <s v="APSEZL"/>
    <x v="0"/>
    <x v="4"/>
    <x v="21"/>
    <s v="MT"/>
    <n v="11674"/>
  </r>
  <r>
    <x v="0"/>
    <s v="APSEZL"/>
    <x v="0"/>
    <x v="4"/>
    <x v="22"/>
    <s v="MT"/>
    <n v="12995"/>
  </r>
  <r>
    <x v="0"/>
    <s v="APSEZL"/>
    <x v="0"/>
    <x v="4"/>
    <x v="23"/>
    <s v="MT"/>
    <n v="7036"/>
  </r>
  <r>
    <x v="0"/>
    <s v="APSEZL"/>
    <x v="0"/>
    <x v="4"/>
    <x v="24"/>
    <s v="MT"/>
    <n v="99"/>
  </r>
  <r>
    <x v="0"/>
    <s v="APSEZL"/>
    <x v="0"/>
    <x v="4"/>
    <x v="25"/>
    <s v="MT"/>
    <n v="4043"/>
  </r>
  <r>
    <x v="0"/>
    <s v="APSEZL"/>
    <x v="0"/>
    <x v="4"/>
    <x v="26"/>
    <s v="MT"/>
    <n v="11178"/>
  </r>
  <r>
    <x v="0"/>
    <s v="APSEZL"/>
    <x v="0"/>
    <x v="4"/>
    <x v="27"/>
    <s v="MT"/>
    <n v="123"/>
  </r>
  <r>
    <x v="0"/>
    <s v="APSEZL"/>
    <x v="0"/>
    <x v="4"/>
    <x v="28"/>
    <s v="MT"/>
    <n v="1694"/>
  </r>
  <r>
    <x v="0"/>
    <s v="APSEZL"/>
    <x v="0"/>
    <x v="4"/>
    <x v="29"/>
    <s v="MT"/>
    <n v="0"/>
  </r>
  <r>
    <x v="0"/>
    <s v="APSEZL"/>
    <x v="0"/>
    <x v="4"/>
    <x v="30"/>
    <s v="MT"/>
    <n v="1817"/>
  </r>
  <r>
    <x v="0"/>
    <s v="APSEZL"/>
    <x v="1"/>
    <x v="0"/>
    <x v="0"/>
    <s v="GJ"/>
    <n v="1387640"/>
  </r>
  <r>
    <x v="0"/>
    <s v="APSEZL"/>
    <x v="1"/>
    <x v="0"/>
    <x v="1"/>
    <s v="GJ"/>
    <n v="1625768"/>
  </r>
  <r>
    <x v="0"/>
    <s v="APSEZL"/>
    <x v="1"/>
    <x v="0"/>
    <x v="2"/>
    <s v="GJ"/>
    <n v="3013408"/>
  </r>
  <r>
    <x v="0"/>
    <s v="APSEZL"/>
    <x v="1"/>
    <x v="1"/>
    <x v="3"/>
    <s v="kL"/>
    <n v="839237"/>
  </r>
  <r>
    <x v="0"/>
    <s v="APSEZL"/>
    <x v="1"/>
    <x v="1"/>
    <x v="4"/>
    <s v="kL"/>
    <n v="366769"/>
  </r>
  <r>
    <x v="0"/>
    <s v="APSEZL"/>
    <x v="1"/>
    <x v="1"/>
    <x v="5"/>
    <s v="kL"/>
    <n v="2832089"/>
  </r>
  <r>
    <x v="0"/>
    <s v="APSEZL"/>
    <x v="1"/>
    <x v="1"/>
    <x v="6"/>
    <s v="kL"/>
    <n v="1241295"/>
  </r>
  <r>
    <x v="0"/>
    <s v="APSEZL"/>
    <x v="1"/>
    <x v="1"/>
    <x v="7"/>
    <s v="kL"/>
    <n v="960739"/>
  </r>
  <r>
    <x v="0"/>
    <s v="APSEZL"/>
    <x v="1"/>
    <x v="1"/>
    <x v="8"/>
    <s v="kL"/>
    <n v="6240130"/>
  </r>
  <r>
    <x v="0"/>
    <s v="APSEZL"/>
    <x v="1"/>
    <x v="1"/>
    <x v="9"/>
    <s v="kL"/>
    <n v="5590749"/>
  </r>
  <r>
    <x v="0"/>
    <s v="APSEZL"/>
    <x v="1"/>
    <x v="2"/>
    <x v="10"/>
    <s v="µg/m³"/>
    <n v="14.09"/>
  </r>
  <r>
    <x v="0"/>
    <s v="APSEZL"/>
    <x v="1"/>
    <x v="2"/>
    <x v="11"/>
    <s v="µg/m³"/>
    <n v="12.46"/>
  </r>
  <r>
    <x v="0"/>
    <s v="APSEZL"/>
    <x v="1"/>
    <x v="2"/>
    <x v="12"/>
    <s v="µg/m³"/>
    <n v="41.36"/>
  </r>
  <r>
    <x v="0"/>
    <s v="APSEZL"/>
    <x v="1"/>
    <x v="3"/>
    <x v="13"/>
    <s v="tCO₂e"/>
    <n v="121102"/>
  </r>
  <r>
    <x v="0"/>
    <s v="APSEZL"/>
    <x v="1"/>
    <x v="3"/>
    <x v="14"/>
    <s v="tCO₂e"/>
    <n v="261951"/>
  </r>
  <r>
    <x v="0"/>
    <s v="APSEZL"/>
    <x v="1"/>
    <x v="3"/>
    <x v="15"/>
    <s v="tCO₂e"/>
    <n v="383053"/>
  </r>
  <r>
    <x v="0"/>
    <s v="APSEZL"/>
    <x v="1"/>
    <x v="4"/>
    <x v="16"/>
    <s v="MT"/>
    <n v="894"/>
  </r>
  <r>
    <x v="0"/>
    <s v="APSEZL"/>
    <x v="1"/>
    <x v="4"/>
    <x v="17"/>
    <s v="MT"/>
    <n v="111.31"/>
  </r>
  <r>
    <x v="0"/>
    <s v="APSEZL"/>
    <x v="1"/>
    <x v="4"/>
    <x v="18"/>
    <s v="MT"/>
    <n v="9.8699999999999992"/>
  </r>
  <r>
    <x v="0"/>
    <s v="APSEZL"/>
    <x v="1"/>
    <x v="4"/>
    <x v="19"/>
    <s v="MT"/>
    <n v="13.46"/>
  </r>
  <r>
    <x v="0"/>
    <s v="APSEZL"/>
    <x v="1"/>
    <x v="4"/>
    <x v="20"/>
    <s v="MT"/>
    <n v="1324"/>
  </r>
  <r>
    <x v="0"/>
    <s v="APSEZL"/>
    <x v="1"/>
    <x v="4"/>
    <x v="21"/>
    <s v="MT"/>
    <n v="13792"/>
  </r>
  <r>
    <x v="0"/>
    <s v="APSEZL"/>
    <x v="1"/>
    <x v="4"/>
    <x v="22"/>
    <s v="MT"/>
    <n v="15316"/>
  </r>
  <r>
    <x v="0"/>
    <s v="APSEZL"/>
    <x v="1"/>
    <x v="4"/>
    <x v="23"/>
    <s v="MT"/>
    <n v="8038"/>
  </r>
  <r>
    <x v="0"/>
    <s v="APSEZL"/>
    <x v="1"/>
    <x v="4"/>
    <x v="24"/>
    <s v="MT"/>
    <n v="3076"/>
  </r>
  <r>
    <x v="0"/>
    <s v="APSEZL"/>
    <x v="1"/>
    <x v="4"/>
    <x v="25"/>
    <s v="MT"/>
    <n v="1132"/>
  </r>
  <r>
    <x v="0"/>
    <s v="APSEZL"/>
    <x v="1"/>
    <x v="4"/>
    <x v="26"/>
    <s v="MT"/>
    <n v="12245"/>
  </r>
  <r>
    <x v="0"/>
    <s v="APSEZL"/>
    <x v="1"/>
    <x v="4"/>
    <x v="27"/>
    <s v="MT"/>
    <n v="140"/>
  </r>
  <r>
    <x v="0"/>
    <s v="APSEZL"/>
    <x v="1"/>
    <x v="4"/>
    <x v="28"/>
    <s v="MT"/>
    <n v="944"/>
  </r>
  <r>
    <x v="0"/>
    <s v="APSEZL"/>
    <x v="1"/>
    <x v="4"/>
    <x v="29"/>
    <s v="MT"/>
    <n v="0"/>
  </r>
  <r>
    <x v="0"/>
    <s v="APSEZL"/>
    <x v="1"/>
    <x v="4"/>
    <x v="30"/>
    <s v="MT"/>
    <n v="1084"/>
  </r>
  <r>
    <x v="0"/>
    <s v="APSEZL"/>
    <x v="2"/>
    <x v="0"/>
    <x v="0"/>
    <s v="GJ"/>
    <n v="1793000"/>
  </r>
  <r>
    <x v="0"/>
    <s v="APSEZL"/>
    <x v="2"/>
    <x v="0"/>
    <x v="1"/>
    <s v="GJ"/>
    <n v="1660000"/>
  </r>
  <r>
    <x v="0"/>
    <s v="APSEZL"/>
    <x v="2"/>
    <x v="0"/>
    <x v="2"/>
    <s v="GJ"/>
    <n v="3453000"/>
  </r>
  <r>
    <x v="0"/>
    <s v="APSEZL"/>
    <x v="2"/>
    <x v="1"/>
    <x v="3"/>
    <s v="kL"/>
    <n v="1350678"/>
  </r>
  <r>
    <x v="0"/>
    <s v="APSEZL"/>
    <x v="2"/>
    <x v="1"/>
    <x v="4"/>
    <s v="kL"/>
    <n v="410463"/>
  </r>
  <r>
    <x v="0"/>
    <s v="APSEZL"/>
    <x v="2"/>
    <x v="1"/>
    <x v="5"/>
    <s v="kL"/>
    <n v="2938298"/>
  </r>
  <r>
    <x v="0"/>
    <s v="APSEZL"/>
    <x v="2"/>
    <x v="1"/>
    <x v="6"/>
    <s v="kL"/>
    <n v="1778522"/>
  </r>
  <r>
    <x v="0"/>
    <s v="APSEZL"/>
    <x v="2"/>
    <x v="1"/>
    <x v="7"/>
    <s v="kL"/>
    <n v="1220162"/>
  </r>
  <r>
    <x v="0"/>
    <s v="APSEZL"/>
    <x v="2"/>
    <x v="1"/>
    <x v="8"/>
    <s v="kL"/>
    <n v="7698123"/>
  </r>
  <r>
    <x v="0"/>
    <s v="APSEZL"/>
    <x v="2"/>
    <x v="1"/>
    <x v="9"/>
    <s v="kL"/>
    <n v="7036727"/>
  </r>
  <r>
    <x v="0"/>
    <s v="APSEZL"/>
    <x v="2"/>
    <x v="2"/>
    <x v="10"/>
    <s v="µg/m³"/>
    <n v="44.25"/>
  </r>
  <r>
    <x v="0"/>
    <s v="APSEZL"/>
    <x v="2"/>
    <x v="2"/>
    <x v="11"/>
    <s v="µg/m³"/>
    <n v="38.909999999999997"/>
  </r>
  <r>
    <x v="0"/>
    <s v="APSEZL"/>
    <x v="2"/>
    <x v="2"/>
    <x v="12"/>
    <s v="µg/m³"/>
    <n v="54"/>
  </r>
  <r>
    <x v="0"/>
    <s v="APSEZL"/>
    <x v="2"/>
    <x v="3"/>
    <x v="13"/>
    <s v="tCO₂e"/>
    <n v="126197"/>
  </r>
  <r>
    <x v="0"/>
    <s v="APSEZL"/>
    <x v="2"/>
    <x v="3"/>
    <x v="14"/>
    <s v="tCO₂e"/>
    <n v="343428"/>
  </r>
  <r>
    <x v="0"/>
    <s v="APSEZL"/>
    <x v="2"/>
    <x v="3"/>
    <x v="15"/>
    <s v="tCO₂e"/>
    <n v="469625"/>
  </r>
  <r>
    <x v="0"/>
    <s v="APSEZL"/>
    <x v="2"/>
    <x v="4"/>
    <x v="16"/>
    <s v="MT"/>
    <n v="591"/>
  </r>
  <r>
    <x v="0"/>
    <s v="APSEZL"/>
    <x v="2"/>
    <x v="4"/>
    <x v="17"/>
    <s v="MT"/>
    <n v="82"/>
  </r>
  <r>
    <x v="0"/>
    <s v="APSEZL"/>
    <x v="2"/>
    <x v="4"/>
    <x v="18"/>
    <s v="MT"/>
    <n v="125"/>
  </r>
  <r>
    <x v="0"/>
    <s v="APSEZL"/>
    <x v="2"/>
    <x v="4"/>
    <x v="19"/>
    <s v="MT"/>
    <n v="56"/>
  </r>
  <r>
    <x v="0"/>
    <s v="APSEZL"/>
    <x v="2"/>
    <x v="4"/>
    <x v="20"/>
    <s v="MT"/>
    <n v="2307"/>
  </r>
  <r>
    <x v="0"/>
    <s v="APSEZL"/>
    <x v="2"/>
    <x v="4"/>
    <x v="21"/>
    <s v="MT"/>
    <n v="10073"/>
  </r>
  <r>
    <x v="0"/>
    <s v="APSEZL"/>
    <x v="2"/>
    <x v="4"/>
    <x v="22"/>
    <s v="MT"/>
    <n v="13234"/>
  </r>
  <r>
    <x v="0"/>
    <s v="APSEZL"/>
    <x v="2"/>
    <x v="4"/>
    <x v="23"/>
    <s v="MT"/>
    <n v="7058"/>
  </r>
  <r>
    <x v="0"/>
    <s v="APSEZL"/>
    <x v="2"/>
    <x v="4"/>
    <x v="24"/>
    <s v="MT"/>
    <n v="783"/>
  </r>
  <r>
    <x v="0"/>
    <s v="APSEZL"/>
    <x v="2"/>
    <x v="4"/>
    <x v="25"/>
    <s v="MT"/>
    <n v="2259"/>
  </r>
  <r>
    <x v="0"/>
    <s v="APSEZL"/>
    <x v="2"/>
    <x v="4"/>
    <x v="26"/>
    <s v="MT"/>
    <n v="10101"/>
  </r>
  <r>
    <x v="0"/>
    <s v="APSEZL"/>
    <x v="2"/>
    <x v="4"/>
    <x v="27"/>
    <s v="MT"/>
    <n v="280"/>
  </r>
  <r>
    <x v="0"/>
    <s v="APSEZL"/>
    <x v="2"/>
    <x v="4"/>
    <x v="28"/>
    <s v="MT"/>
    <n v="893"/>
  </r>
  <r>
    <x v="0"/>
    <s v="APSEZL"/>
    <x v="2"/>
    <x v="4"/>
    <x v="29"/>
    <s v="MT"/>
    <n v="1961"/>
  </r>
  <r>
    <x v="0"/>
    <s v="APSEZL"/>
    <x v="2"/>
    <x v="4"/>
    <x v="30"/>
    <s v="MT"/>
    <n v="3133"/>
  </r>
  <r>
    <x v="1"/>
    <s v="Grasim"/>
    <x v="0"/>
    <x v="0"/>
    <x v="0"/>
    <s v="GJ"/>
    <n v="6390000"/>
  </r>
  <r>
    <x v="1"/>
    <s v="Grasim"/>
    <x v="0"/>
    <x v="0"/>
    <x v="1"/>
    <s v="GJ"/>
    <n v="53540000"/>
  </r>
  <r>
    <x v="1"/>
    <s v="Grasim"/>
    <x v="0"/>
    <x v="0"/>
    <x v="2"/>
    <s v="GJ"/>
    <n v="59930000"/>
  </r>
  <r>
    <x v="1"/>
    <s v="Grasim"/>
    <x v="0"/>
    <x v="1"/>
    <x v="3"/>
    <s v="kL"/>
    <n v="362800000"/>
  </r>
  <r>
    <x v="1"/>
    <s v="Grasim"/>
    <x v="0"/>
    <x v="1"/>
    <x v="4"/>
    <s v="kL"/>
    <n v="21800000"/>
  </r>
  <r>
    <x v="1"/>
    <s v="Grasim"/>
    <x v="0"/>
    <x v="1"/>
    <x v="5"/>
    <s v="kL"/>
    <n v="108700000"/>
  </r>
  <r>
    <x v="1"/>
    <s v="Grasim"/>
    <x v="0"/>
    <x v="1"/>
    <x v="6"/>
    <s v="kL"/>
    <n v="0"/>
  </r>
  <r>
    <x v="1"/>
    <s v="Grasim"/>
    <x v="0"/>
    <x v="1"/>
    <x v="7"/>
    <s v="kL"/>
    <n v="0"/>
  </r>
  <r>
    <x v="1"/>
    <s v="Grasim"/>
    <x v="0"/>
    <x v="1"/>
    <x v="8"/>
    <s v="kL"/>
    <n v="493300000"/>
  </r>
  <r>
    <x v="1"/>
    <s v="Grasim"/>
    <x v="0"/>
    <x v="1"/>
    <x v="9"/>
    <s v="kL"/>
    <n v="368700000"/>
  </r>
  <r>
    <x v="1"/>
    <s v="Grasim"/>
    <x v="0"/>
    <x v="2"/>
    <x v="10"/>
    <s v="Tonnes"/>
    <n v="2013.49"/>
  </r>
  <r>
    <x v="1"/>
    <s v="Grasim"/>
    <x v="0"/>
    <x v="2"/>
    <x v="11"/>
    <s v="Tonnes"/>
    <n v="6332.01"/>
  </r>
  <r>
    <x v="1"/>
    <s v="Grasim"/>
    <x v="0"/>
    <x v="2"/>
    <x v="12"/>
    <s v="Tonnes"/>
    <n v="1311.72"/>
  </r>
  <r>
    <x v="1"/>
    <s v="Grasim"/>
    <x v="0"/>
    <x v="3"/>
    <x v="13"/>
    <s v="tCO₂e"/>
    <n v="4570000"/>
  </r>
  <r>
    <x v="1"/>
    <s v="Grasim"/>
    <x v="0"/>
    <x v="3"/>
    <x v="14"/>
    <s v="tCO₂e"/>
    <n v="1390000"/>
  </r>
  <r>
    <x v="1"/>
    <s v="Grasim"/>
    <x v="0"/>
    <x v="3"/>
    <x v="15"/>
    <s v="tCO₂e"/>
    <n v="5960000"/>
  </r>
  <r>
    <x v="1"/>
    <s v="Grasim"/>
    <x v="0"/>
    <x v="4"/>
    <x v="16"/>
    <s v="MT"/>
    <n v="0"/>
  </r>
  <r>
    <x v="1"/>
    <s v="Grasim"/>
    <x v="0"/>
    <x v="4"/>
    <x v="17"/>
    <s v="MT"/>
    <n v="0"/>
  </r>
  <r>
    <x v="1"/>
    <s v="Grasim"/>
    <x v="0"/>
    <x v="4"/>
    <x v="18"/>
    <s v="MT"/>
    <n v="0"/>
  </r>
  <r>
    <x v="1"/>
    <s v="Grasim"/>
    <x v="0"/>
    <x v="4"/>
    <x v="31"/>
    <s v="MT"/>
    <n v="0"/>
  </r>
  <r>
    <x v="1"/>
    <s v="Grasim"/>
    <x v="0"/>
    <x v="4"/>
    <x v="19"/>
    <s v="MT"/>
    <n v="0"/>
  </r>
  <r>
    <x v="1"/>
    <s v="Grasim"/>
    <x v="0"/>
    <x v="4"/>
    <x v="20"/>
    <s v="MT"/>
    <n v="133865"/>
  </r>
  <r>
    <x v="1"/>
    <s v="Grasim"/>
    <x v="0"/>
    <x v="4"/>
    <x v="21"/>
    <s v="MT"/>
    <n v="894063"/>
  </r>
  <r>
    <x v="1"/>
    <s v="Grasim"/>
    <x v="0"/>
    <x v="4"/>
    <x v="22"/>
    <s v="MT"/>
    <n v="1027928"/>
  </r>
  <r>
    <x v="1"/>
    <s v="Grasim"/>
    <x v="0"/>
    <x v="4"/>
    <x v="23"/>
    <s v="MT"/>
    <n v="819914"/>
  </r>
  <r>
    <x v="1"/>
    <s v="Grasim"/>
    <x v="0"/>
    <x v="4"/>
    <x v="32"/>
    <s v="MT"/>
    <n v="0"/>
  </r>
  <r>
    <x v="1"/>
    <s v="Grasim"/>
    <x v="0"/>
    <x v="4"/>
    <x v="25"/>
    <s v="MT"/>
    <n v="103248"/>
  </r>
  <r>
    <x v="1"/>
    <s v="Grasim"/>
    <x v="0"/>
    <x v="4"/>
    <x v="26"/>
    <s v="MT"/>
    <n v="923162"/>
  </r>
  <r>
    <x v="1"/>
    <s v="Grasim"/>
    <x v="0"/>
    <x v="4"/>
    <x v="27"/>
    <s v="MT"/>
    <n v="871"/>
  </r>
  <r>
    <x v="1"/>
    <s v="Grasim"/>
    <x v="0"/>
    <x v="4"/>
    <x v="28"/>
    <s v="MT"/>
    <n v="103895"/>
  </r>
  <r>
    <x v="1"/>
    <s v="Grasim"/>
    <x v="0"/>
    <x v="4"/>
    <x v="33"/>
    <s v="MT"/>
    <n v="0"/>
  </r>
  <r>
    <x v="1"/>
    <s v="Grasim"/>
    <x v="0"/>
    <x v="4"/>
    <x v="30"/>
    <s v="MT"/>
    <n v="104766"/>
  </r>
  <r>
    <x v="1"/>
    <s v="Grasim"/>
    <x v="1"/>
    <x v="0"/>
    <x v="0"/>
    <s v="GJ"/>
    <n v="7350000"/>
  </r>
  <r>
    <x v="1"/>
    <s v="Grasim"/>
    <x v="1"/>
    <x v="0"/>
    <x v="1"/>
    <s v="GJ"/>
    <n v="56290000"/>
  </r>
  <r>
    <x v="1"/>
    <s v="Grasim"/>
    <x v="1"/>
    <x v="0"/>
    <x v="2"/>
    <s v="GJ"/>
    <n v="63640000"/>
  </r>
  <r>
    <x v="1"/>
    <s v="Grasim"/>
    <x v="1"/>
    <x v="1"/>
    <x v="3"/>
    <s v="kL"/>
    <n v="375600000"/>
  </r>
  <r>
    <x v="1"/>
    <s v="Grasim"/>
    <x v="1"/>
    <x v="1"/>
    <x v="4"/>
    <s v="kL"/>
    <n v="30900000"/>
  </r>
  <r>
    <x v="1"/>
    <s v="Grasim"/>
    <x v="1"/>
    <x v="1"/>
    <x v="5"/>
    <s v="kL"/>
    <n v="133600000"/>
  </r>
  <r>
    <x v="1"/>
    <s v="Grasim"/>
    <x v="1"/>
    <x v="1"/>
    <x v="6"/>
    <s v="kL"/>
    <n v="0"/>
  </r>
  <r>
    <x v="1"/>
    <s v="Grasim"/>
    <x v="1"/>
    <x v="1"/>
    <x v="7"/>
    <s v="kL"/>
    <n v="30000"/>
  </r>
  <r>
    <x v="1"/>
    <s v="Grasim"/>
    <x v="1"/>
    <x v="1"/>
    <x v="8"/>
    <s v="kL"/>
    <n v="540400000"/>
  </r>
  <r>
    <x v="1"/>
    <s v="Grasim"/>
    <x v="1"/>
    <x v="1"/>
    <x v="9"/>
    <s v="kL"/>
    <n v="525400000"/>
  </r>
  <r>
    <x v="1"/>
    <s v="Grasim"/>
    <x v="1"/>
    <x v="2"/>
    <x v="10"/>
    <s v="Tonnes"/>
    <n v="2128.67"/>
  </r>
  <r>
    <x v="1"/>
    <s v="Grasim"/>
    <x v="1"/>
    <x v="2"/>
    <x v="11"/>
    <s v="Tonnes"/>
    <n v="7273.01"/>
  </r>
  <r>
    <x v="1"/>
    <s v="Grasim"/>
    <x v="1"/>
    <x v="2"/>
    <x v="12"/>
    <s v="Tonnes"/>
    <n v="1038.54"/>
  </r>
  <r>
    <x v="1"/>
    <s v="Grasim"/>
    <x v="1"/>
    <x v="3"/>
    <x v="13"/>
    <s v="tCO₂e"/>
    <n v="4720000"/>
  </r>
  <r>
    <x v="1"/>
    <s v="Grasim"/>
    <x v="1"/>
    <x v="3"/>
    <x v="14"/>
    <s v="tCO₂e"/>
    <n v="1620000"/>
  </r>
  <r>
    <x v="1"/>
    <s v="Grasim"/>
    <x v="1"/>
    <x v="3"/>
    <x v="15"/>
    <s v="tCO₂e"/>
    <n v="6340000"/>
  </r>
  <r>
    <x v="1"/>
    <s v="Grasim"/>
    <x v="1"/>
    <x v="4"/>
    <x v="16"/>
    <s v="MT"/>
    <n v="2361"/>
  </r>
  <r>
    <x v="1"/>
    <s v="Grasim"/>
    <x v="1"/>
    <x v="4"/>
    <x v="17"/>
    <s v="MT"/>
    <n v="104.6"/>
  </r>
  <r>
    <x v="1"/>
    <s v="Grasim"/>
    <x v="1"/>
    <x v="4"/>
    <x v="18"/>
    <s v="MT"/>
    <n v="21.1"/>
  </r>
  <r>
    <x v="1"/>
    <s v="Grasim"/>
    <x v="1"/>
    <x v="4"/>
    <x v="31"/>
    <s v="MT"/>
    <n v="12537"/>
  </r>
  <r>
    <x v="1"/>
    <s v="Grasim"/>
    <x v="1"/>
    <x v="4"/>
    <x v="19"/>
    <s v="MT"/>
    <n v="99.79"/>
  </r>
  <r>
    <x v="1"/>
    <s v="Grasim"/>
    <x v="1"/>
    <x v="4"/>
    <x v="20"/>
    <s v="MT"/>
    <n v="229316"/>
  </r>
  <r>
    <x v="1"/>
    <s v="Grasim"/>
    <x v="1"/>
    <x v="4"/>
    <x v="21"/>
    <s v="MT"/>
    <n v="654239"/>
  </r>
  <r>
    <x v="1"/>
    <s v="Grasim"/>
    <x v="1"/>
    <x v="4"/>
    <x v="22"/>
    <s v="MT"/>
    <n v="898679"/>
  </r>
  <r>
    <x v="1"/>
    <s v="Grasim"/>
    <x v="1"/>
    <x v="4"/>
    <x v="23"/>
    <s v="MT"/>
    <n v="721285"/>
  </r>
  <r>
    <x v="1"/>
    <s v="Grasim"/>
    <x v="1"/>
    <x v="4"/>
    <x v="32"/>
    <s v="MT"/>
    <n v="553484"/>
  </r>
  <r>
    <x v="1"/>
    <s v="Grasim"/>
    <x v="1"/>
    <x v="4"/>
    <x v="25"/>
    <s v="MT"/>
    <n v="87695.67"/>
  </r>
  <r>
    <x v="1"/>
    <s v="Grasim"/>
    <x v="1"/>
    <x v="4"/>
    <x v="26"/>
    <s v="MT"/>
    <n v="808981"/>
  </r>
  <r>
    <x v="1"/>
    <s v="Grasim"/>
    <x v="1"/>
    <x v="4"/>
    <x v="27"/>
    <s v="MT"/>
    <n v="1196"/>
  </r>
  <r>
    <x v="1"/>
    <s v="Grasim"/>
    <x v="1"/>
    <x v="4"/>
    <x v="28"/>
    <s v="MT"/>
    <n v="119368"/>
  </r>
  <r>
    <x v="1"/>
    <s v="Grasim"/>
    <x v="1"/>
    <x v="4"/>
    <x v="33"/>
    <s v="MT"/>
    <n v="0"/>
  </r>
  <r>
    <x v="1"/>
    <s v="Grasim"/>
    <x v="1"/>
    <x v="4"/>
    <x v="30"/>
    <s v="MT"/>
    <n v="120564"/>
  </r>
  <r>
    <x v="1"/>
    <s v="Grasim"/>
    <x v="2"/>
    <x v="0"/>
    <x v="0"/>
    <s v="GJ"/>
    <n v="7540000"/>
  </r>
  <r>
    <x v="1"/>
    <s v="Grasim"/>
    <x v="2"/>
    <x v="0"/>
    <x v="1"/>
    <s v="GJ"/>
    <n v="60740000"/>
  </r>
  <r>
    <x v="1"/>
    <s v="Grasim"/>
    <x v="2"/>
    <x v="0"/>
    <x v="2"/>
    <s v="GJ"/>
    <n v="68280000"/>
  </r>
  <r>
    <x v="1"/>
    <s v="Grasim"/>
    <x v="2"/>
    <x v="1"/>
    <x v="3"/>
    <s v="kL"/>
    <n v="370800000"/>
  </r>
  <r>
    <x v="1"/>
    <s v="Grasim"/>
    <x v="2"/>
    <x v="1"/>
    <x v="4"/>
    <s v="kL"/>
    <n v="24100000"/>
  </r>
  <r>
    <x v="1"/>
    <s v="Grasim"/>
    <x v="2"/>
    <x v="1"/>
    <x v="5"/>
    <s v="kL"/>
    <n v="130100000"/>
  </r>
  <r>
    <x v="1"/>
    <s v="Grasim"/>
    <x v="2"/>
    <x v="1"/>
    <x v="6"/>
    <s v="kL"/>
    <n v="0"/>
  </r>
  <r>
    <x v="1"/>
    <s v="Grasim"/>
    <x v="2"/>
    <x v="1"/>
    <x v="7"/>
    <s v="kL"/>
    <n v="120000"/>
  </r>
  <r>
    <x v="1"/>
    <s v="Grasim"/>
    <x v="2"/>
    <x v="1"/>
    <x v="8"/>
    <s v="kL"/>
    <n v="539100000"/>
  </r>
  <r>
    <x v="1"/>
    <s v="Grasim"/>
    <x v="2"/>
    <x v="1"/>
    <x v="9"/>
    <s v="kL"/>
    <n v="546600000"/>
  </r>
  <r>
    <x v="1"/>
    <s v="Grasim"/>
    <x v="2"/>
    <x v="2"/>
    <x v="10"/>
    <s v="Tonnes"/>
    <n v="2319.2800000000002"/>
  </r>
  <r>
    <x v="1"/>
    <s v="Grasim"/>
    <x v="2"/>
    <x v="2"/>
    <x v="11"/>
    <s v="Tonnes"/>
    <n v="7735.26"/>
  </r>
  <r>
    <x v="1"/>
    <s v="Grasim"/>
    <x v="2"/>
    <x v="2"/>
    <x v="12"/>
    <s v="Tonnes"/>
    <n v="1097.72"/>
  </r>
  <r>
    <x v="1"/>
    <s v="Grasim"/>
    <x v="2"/>
    <x v="3"/>
    <x v="13"/>
    <s v="tCO₂e"/>
    <n v="5310000"/>
  </r>
  <r>
    <x v="1"/>
    <s v="Grasim"/>
    <x v="2"/>
    <x v="3"/>
    <x v="14"/>
    <s v="tCO₂e"/>
    <n v="1190000"/>
  </r>
  <r>
    <x v="1"/>
    <s v="Grasim"/>
    <x v="2"/>
    <x v="3"/>
    <x v="15"/>
    <s v="tCO₂e"/>
    <n v="6500000"/>
  </r>
  <r>
    <x v="1"/>
    <s v="Grasim"/>
    <x v="2"/>
    <x v="4"/>
    <x v="16"/>
    <s v="MT"/>
    <n v="1261"/>
  </r>
  <r>
    <x v="1"/>
    <s v="Grasim"/>
    <x v="2"/>
    <x v="4"/>
    <x v="17"/>
    <s v="MT"/>
    <n v="73.23"/>
  </r>
  <r>
    <x v="1"/>
    <s v="Grasim"/>
    <x v="2"/>
    <x v="4"/>
    <x v="18"/>
    <s v="MT"/>
    <n v="7.63"/>
  </r>
  <r>
    <x v="1"/>
    <s v="Grasim"/>
    <x v="2"/>
    <x v="4"/>
    <x v="31"/>
    <s v="MT"/>
    <n v="15800.28"/>
  </r>
  <r>
    <x v="1"/>
    <s v="Grasim"/>
    <x v="2"/>
    <x v="4"/>
    <x v="19"/>
    <s v="MT"/>
    <n v="88.43"/>
  </r>
  <r>
    <x v="1"/>
    <s v="Grasim"/>
    <x v="2"/>
    <x v="4"/>
    <x v="20"/>
    <s v="MT"/>
    <n v="221372"/>
  </r>
  <r>
    <x v="1"/>
    <s v="Grasim"/>
    <x v="2"/>
    <x v="4"/>
    <x v="21"/>
    <s v="MT"/>
    <n v="804332"/>
  </r>
  <r>
    <x v="1"/>
    <s v="Grasim"/>
    <x v="2"/>
    <x v="4"/>
    <x v="22"/>
    <s v="MT"/>
    <n v="1042936"/>
  </r>
  <r>
    <x v="1"/>
    <s v="Grasim"/>
    <x v="2"/>
    <x v="4"/>
    <x v="23"/>
    <s v="MT"/>
    <n v="369259"/>
  </r>
  <r>
    <x v="1"/>
    <s v="Grasim"/>
    <x v="2"/>
    <x v="4"/>
    <x v="32"/>
    <s v="MT"/>
    <n v="553484"/>
  </r>
  <r>
    <x v="1"/>
    <s v="Grasim"/>
    <x v="2"/>
    <x v="4"/>
    <x v="25"/>
    <s v="MT"/>
    <n v="29720"/>
  </r>
  <r>
    <x v="1"/>
    <s v="Grasim"/>
    <x v="2"/>
    <x v="4"/>
    <x v="26"/>
    <s v="MT"/>
    <n v="952463"/>
  </r>
  <r>
    <x v="1"/>
    <s v="Grasim"/>
    <x v="2"/>
    <x v="4"/>
    <x v="27"/>
    <s v="MT"/>
    <n v="595"/>
  </r>
  <r>
    <x v="1"/>
    <s v="Grasim"/>
    <x v="2"/>
    <x v="4"/>
    <x v="28"/>
    <s v="MT"/>
    <n v="64287"/>
  </r>
  <r>
    <x v="1"/>
    <s v="Grasim"/>
    <x v="2"/>
    <x v="4"/>
    <x v="33"/>
    <s v="MT"/>
    <n v="0"/>
  </r>
  <r>
    <x v="1"/>
    <s v="Grasim"/>
    <x v="2"/>
    <x v="4"/>
    <x v="30"/>
    <s v="MT"/>
    <n v="64882"/>
  </r>
  <r>
    <x v="2"/>
    <s v="HUL"/>
    <x v="0"/>
    <x v="0"/>
    <x v="0"/>
    <s v="GJ"/>
    <n v="1069599"/>
  </r>
  <r>
    <x v="2"/>
    <s v="HUL"/>
    <x v="0"/>
    <x v="0"/>
    <x v="1"/>
    <s v="GJ"/>
    <n v="2632986"/>
  </r>
  <r>
    <x v="2"/>
    <s v="HUL"/>
    <x v="0"/>
    <x v="0"/>
    <x v="34"/>
    <s v="GJ"/>
    <n v="0"/>
  </r>
  <r>
    <x v="2"/>
    <s v="HUL"/>
    <x v="0"/>
    <x v="0"/>
    <x v="2"/>
    <s v="GJ"/>
    <n v="3702585"/>
  </r>
  <r>
    <x v="2"/>
    <s v="HUL"/>
    <x v="0"/>
    <x v="1"/>
    <x v="3"/>
    <s v="kL"/>
    <n v="0"/>
  </r>
  <r>
    <x v="2"/>
    <s v="HUL"/>
    <x v="0"/>
    <x v="1"/>
    <x v="4"/>
    <s v="kL"/>
    <n v="1881457"/>
  </r>
  <r>
    <x v="2"/>
    <s v="HUL"/>
    <x v="0"/>
    <x v="1"/>
    <x v="5"/>
    <s v="kL"/>
    <n v="857161"/>
  </r>
  <r>
    <x v="2"/>
    <s v="HUL"/>
    <x v="0"/>
    <x v="1"/>
    <x v="6"/>
    <s v="kL"/>
    <n v="0"/>
  </r>
  <r>
    <x v="2"/>
    <s v="HUL"/>
    <x v="0"/>
    <x v="1"/>
    <x v="7"/>
    <s v="kL"/>
    <n v="0"/>
  </r>
  <r>
    <x v="2"/>
    <s v="HUL"/>
    <x v="0"/>
    <x v="1"/>
    <x v="8"/>
    <s v="kL"/>
    <n v="2738618"/>
  </r>
  <r>
    <x v="2"/>
    <s v="HUL"/>
    <x v="0"/>
    <x v="1"/>
    <x v="9"/>
    <s v="kL"/>
    <n v="2679932"/>
  </r>
  <r>
    <x v="2"/>
    <s v="HUL"/>
    <x v="0"/>
    <x v="2"/>
    <x v="10"/>
    <s v="Tonnes"/>
    <n v="317"/>
  </r>
  <r>
    <x v="2"/>
    <s v="HUL"/>
    <x v="0"/>
    <x v="2"/>
    <x v="11"/>
    <s v="Tonnes"/>
    <n v="362"/>
  </r>
  <r>
    <x v="2"/>
    <s v="HUL"/>
    <x v="0"/>
    <x v="2"/>
    <x v="12"/>
    <s v="Mg/Nm3"/>
    <n v="61"/>
  </r>
  <r>
    <x v="2"/>
    <s v="HUL"/>
    <x v="0"/>
    <x v="3"/>
    <x v="13"/>
    <s v="tCO₂e"/>
    <n v="32056"/>
  </r>
  <r>
    <x v="2"/>
    <s v="HUL"/>
    <x v="0"/>
    <x v="3"/>
    <x v="14"/>
    <s v="tCO₂e"/>
    <n v="54"/>
  </r>
  <r>
    <x v="2"/>
    <s v="HUL"/>
    <x v="0"/>
    <x v="3"/>
    <x v="15"/>
    <s v="tCO₂e"/>
    <n v="32110"/>
  </r>
  <r>
    <x v="2"/>
    <s v="HUL"/>
    <x v="0"/>
    <x v="4"/>
    <x v="16"/>
    <s v="MT"/>
    <n v="11451"/>
  </r>
  <r>
    <x v="2"/>
    <s v="HUL"/>
    <x v="0"/>
    <x v="4"/>
    <x v="17"/>
    <s v="MT"/>
    <n v="97"/>
  </r>
  <r>
    <x v="2"/>
    <s v="HUL"/>
    <x v="0"/>
    <x v="4"/>
    <x v="18"/>
    <s v="MT"/>
    <n v="14"/>
  </r>
  <r>
    <x v="2"/>
    <s v="HUL"/>
    <x v="0"/>
    <x v="4"/>
    <x v="31"/>
    <s v="MT"/>
    <n v="2107"/>
  </r>
  <r>
    <x v="2"/>
    <s v="HUL"/>
    <x v="0"/>
    <x v="4"/>
    <x v="19"/>
    <s v="MT"/>
    <n v="12"/>
  </r>
  <r>
    <x v="2"/>
    <s v="HUL"/>
    <x v="0"/>
    <x v="4"/>
    <x v="20"/>
    <s v="MT"/>
    <n v="264"/>
  </r>
  <r>
    <x v="2"/>
    <s v="HUL"/>
    <x v="0"/>
    <x v="4"/>
    <x v="21"/>
    <s v="MT"/>
    <n v="70976"/>
  </r>
  <r>
    <x v="2"/>
    <s v="HUL"/>
    <x v="0"/>
    <x v="4"/>
    <x v="22"/>
    <s v="MT"/>
    <n v="84921"/>
  </r>
  <r>
    <x v="2"/>
    <s v="HUL"/>
    <x v="0"/>
    <x v="4"/>
    <x v="23"/>
    <s v="MT"/>
    <n v="58441"/>
  </r>
  <r>
    <x v="2"/>
    <s v="HUL"/>
    <x v="0"/>
    <x v="4"/>
    <x v="32"/>
    <s v="MT"/>
    <n v="25665"/>
  </r>
  <r>
    <x v="2"/>
    <s v="HUL"/>
    <x v="0"/>
    <x v="4"/>
    <x v="25"/>
    <s v="MT"/>
    <n v="509"/>
  </r>
  <r>
    <x v="2"/>
    <s v="HUL"/>
    <x v="0"/>
    <x v="4"/>
    <x v="26"/>
    <s v="MT"/>
    <n v="84615"/>
  </r>
  <r>
    <x v="2"/>
    <s v="HUL"/>
    <x v="0"/>
    <x v="4"/>
    <x v="27"/>
    <s v="MT"/>
    <n v="173"/>
  </r>
  <r>
    <x v="2"/>
    <s v="HUL"/>
    <x v="0"/>
    <x v="4"/>
    <x v="28"/>
    <s v="MT"/>
    <n v="133"/>
  </r>
  <r>
    <x v="2"/>
    <s v="HUL"/>
    <x v="0"/>
    <x v="4"/>
    <x v="33"/>
    <s v="MT"/>
    <n v="0"/>
  </r>
  <r>
    <x v="2"/>
    <s v="HUL"/>
    <x v="0"/>
    <x v="4"/>
    <x v="30"/>
    <s v="MT"/>
    <n v="306"/>
  </r>
  <r>
    <x v="2"/>
    <s v="HUL"/>
    <x v="1"/>
    <x v="0"/>
    <x v="0"/>
    <s v="GJ"/>
    <n v="1152640"/>
  </r>
  <r>
    <x v="2"/>
    <s v="HUL"/>
    <x v="1"/>
    <x v="0"/>
    <x v="1"/>
    <s v="GJ"/>
    <n v="2566732"/>
  </r>
  <r>
    <x v="2"/>
    <s v="HUL"/>
    <x v="1"/>
    <x v="0"/>
    <x v="34"/>
    <s v="GJ"/>
    <n v="0"/>
  </r>
  <r>
    <x v="2"/>
    <s v="HUL"/>
    <x v="1"/>
    <x v="0"/>
    <x v="2"/>
    <s v="GJ"/>
    <n v="3719372"/>
  </r>
  <r>
    <x v="2"/>
    <s v="HUL"/>
    <x v="1"/>
    <x v="1"/>
    <x v="3"/>
    <s v="kL"/>
    <n v="0"/>
  </r>
  <r>
    <x v="2"/>
    <s v="HUL"/>
    <x v="1"/>
    <x v="1"/>
    <x v="4"/>
    <s v="kL"/>
    <n v="1921329"/>
  </r>
  <r>
    <x v="2"/>
    <s v="HUL"/>
    <x v="1"/>
    <x v="1"/>
    <x v="5"/>
    <s v="kL"/>
    <n v="926494"/>
  </r>
  <r>
    <x v="2"/>
    <s v="HUL"/>
    <x v="1"/>
    <x v="1"/>
    <x v="6"/>
    <s v="kL"/>
    <n v="0"/>
  </r>
  <r>
    <x v="2"/>
    <s v="HUL"/>
    <x v="1"/>
    <x v="1"/>
    <x v="7"/>
    <s v="kL"/>
    <n v="0"/>
  </r>
  <r>
    <x v="2"/>
    <s v="HUL"/>
    <x v="1"/>
    <x v="1"/>
    <x v="8"/>
    <s v="kL"/>
    <n v="2847823"/>
  </r>
  <r>
    <x v="2"/>
    <s v="HUL"/>
    <x v="1"/>
    <x v="1"/>
    <x v="9"/>
    <s v="kL"/>
    <n v="2795743"/>
  </r>
  <r>
    <x v="2"/>
    <s v="HUL"/>
    <x v="1"/>
    <x v="2"/>
    <x v="10"/>
    <s v="Tonnes"/>
    <n v="315"/>
  </r>
  <r>
    <x v="2"/>
    <s v="HUL"/>
    <x v="1"/>
    <x v="2"/>
    <x v="11"/>
    <s v="Tonnes"/>
    <n v="225"/>
  </r>
  <r>
    <x v="2"/>
    <s v="HUL"/>
    <x v="1"/>
    <x v="2"/>
    <x v="12"/>
    <s v="Mg/Nm3"/>
    <n v="55"/>
  </r>
  <r>
    <x v="2"/>
    <s v="HUL"/>
    <x v="1"/>
    <x v="3"/>
    <x v="13"/>
    <s v="tCO₂e"/>
    <n v="20165"/>
  </r>
  <r>
    <x v="2"/>
    <s v="HUL"/>
    <x v="1"/>
    <x v="3"/>
    <x v="14"/>
    <s v="tCO₂e"/>
    <n v="0"/>
  </r>
  <r>
    <x v="2"/>
    <s v="HUL"/>
    <x v="1"/>
    <x v="3"/>
    <x v="15"/>
    <s v="tCO₂e"/>
    <n v="20165"/>
  </r>
  <r>
    <x v="2"/>
    <s v="HUL"/>
    <x v="1"/>
    <x v="4"/>
    <x v="16"/>
    <s v="MT"/>
    <n v="12055"/>
  </r>
  <r>
    <x v="2"/>
    <s v="HUL"/>
    <x v="1"/>
    <x v="4"/>
    <x v="17"/>
    <s v="MT"/>
    <n v="93"/>
  </r>
  <r>
    <x v="2"/>
    <s v="HUL"/>
    <x v="1"/>
    <x v="4"/>
    <x v="18"/>
    <s v="MT"/>
    <n v="18"/>
  </r>
  <r>
    <x v="2"/>
    <s v="HUL"/>
    <x v="1"/>
    <x v="4"/>
    <x v="31"/>
    <s v="MT"/>
    <n v="5086"/>
  </r>
  <r>
    <x v="2"/>
    <s v="HUL"/>
    <x v="1"/>
    <x v="4"/>
    <x v="19"/>
    <s v="MT"/>
    <n v="53"/>
  </r>
  <r>
    <x v="2"/>
    <s v="HUL"/>
    <x v="1"/>
    <x v="4"/>
    <x v="20"/>
    <s v="MT"/>
    <n v="383"/>
  </r>
  <r>
    <x v="2"/>
    <s v="HUL"/>
    <x v="1"/>
    <x v="4"/>
    <x v="21"/>
    <s v="MT"/>
    <n v="72880"/>
  </r>
  <r>
    <x v="2"/>
    <s v="HUL"/>
    <x v="1"/>
    <x v="4"/>
    <x v="22"/>
    <s v="MT"/>
    <n v="90568"/>
  </r>
  <r>
    <x v="2"/>
    <s v="HUL"/>
    <x v="1"/>
    <x v="4"/>
    <x v="23"/>
    <s v="MT"/>
    <n v="65658"/>
  </r>
  <r>
    <x v="2"/>
    <s v="HUL"/>
    <x v="1"/>
    <x v="4"/>
    <x v="32"/>
    <s v="MT"/>
    <n v="24181"/>
  </r>
  <r>
    <x v="2"/>
    <s v="HUL"/>
    <x v="1"/>
    <x v="4"/>
    <x v="25"/>
    <s v="MT"/>
    <n v="293"/>
  </r>
  <r>
    <x v="2"/>
    <s v="HUL"/>
    <x v="1"/>
    <x v="4"/>
    <x v="26"/>
    <s v="MT"/>
    <n v="90132"/>
  </r>
  <r>
    <x v="2"/>
    <s v="HUL"/>
    <x v="1"/>
    <x v="4"/>
    <x v="27"/>
    <s v="MT"/>
    <n v="279"/>
  </r>
  <r>
    <x v="2"/>
    <s v="HUL"/>
    <x v="1"/>
    <x v="4"/>
    <x v="28"/>
    <s v="MT"/>
    <n v="157"/>
  </r>
  <r>
    <x v="2"/>
    <s v="HUL"/>
    <x v="1"/>
    <x v="4"/>
    <x v="33"/>
    <s v="MT"/>
    <n v="0"/>
  </r>
  <r>
    <x v="2"/>
    <s v="HUL"/>
    <x v="1"/>
    <x v="4"/>
    <x v="30"/>
    <s v="MT"/>
    <n v="436"/>
  </r>
  <r>
    <x v="2"/>
    <s v="HUL"/>
    <x v="2"/>
    <x v="0"/>
    <x v="0"/>
    <s v="GJ"/>
    <n v="1186957"/>
  </r>
  <r>
    <x v="2"/>
    <s v="HUL"/>
    <x v="2"/>
    <x v="0"/>
    <x v="1"/>
    <s v="GJ"/>
    <n v="2538627"/>
  </r>
  <r>
    <x v="2"/>
    <s v="HUL"/>
    <x v="2"/>
    <x v="0"/>
    <x v="34"/>
    <s v="GJ"/>
    <n v="1019"/>
  </r>
  <r>
    <x v="2"/>
    <s v="HUL"/>
    <x v="2"/>
    <x v="0"/>
    <x v="2"/>
    <s v="GJ"/>
    <n v="3726603"/>
  </r>
  <r>
    <x v="2"/>
    <s v="HUL"/>
    <x v="2"/>
    <x v="1"/>
    <x v="3"/>
    <s v="kL"/>
    <n v="0"/>
  </r>
  <r>
    <x v="2"/>
    <s v="HUL"/>
    <x v="2"/>
    <x v="1"/>
    <x v="4"/>
    <s v="kL"/>
    <n v="2163447"/>
  </r>
  <r>
    <x v="2"/>
    <s v="HUL"/>
    <x v="2"/>
    <x v="1"/>
    <x v="5"/>
    <s v="kL"/>
    <n v="814723"/>
  </r>
  <r>
    <x v="2"/>
    <s v="HUL"/>
    <x v="2"/>
    <x v="1"/>
    <x v="6"/>
    <s v="kL"/>
    <n v="0"/>
  </r>
  <r>
    <x v="2"/>
    <s v="HUL"/>
    <x v="2"/>
    <x v="1"/>
    <x v="7"/>
    <s v="kL"/>
    <n v="52486"/>
  </r>
  <r>
    <x v="2"/>
    <s v="HUL"/>
    <x v="2"/>
    <x v="1"/>
    <x v="8"/>
    <s v="kL"/>
    <n v="3030656"/>
  </r>
  <r>
    <x v="2"/>
    <s v="HUL"/>
    <x v="2"/>
    <x v="1"/>
    <x v="9"/>
    <s v="kL"/>
    <n v="2969699"/>
  </r>
  <r>
    <x v="2"/>
    <s v="HUL"/>
    <x v="2"/>
    <x v="2"/>
    <x v="10"/>
    <s v="Tonnes"/>
    <n v="312"/>
  </r>
  <r>
    <x v="2"/>
    <s v="HUL"/>
    <x v="2"/>
    <x v="2"/>
    <x v="11"/>
    <s v="Tonnes"/>
    <n v="161"/>
  </r>
  <r>
    <x v="2"/>
    <s v="HUL"/>
    <x v="2"/>
    <x v="2"/>
    <x v="12"/>
    <s v="Mg/Nm3"/>
    <n v="51"/>
  </r>
  <r>
    <x v="2"/>
    <s v="HUL"/>
    <x v="2"/>
    <x v="3"/>
    <x v="13"/>
    <s v="tCO₂e"/>
    <n v="14622"/>
  </r>
  <r>
    <x v="2"/>
    <s v="HUL"/>
    <x v="2"/>
    <x v="3"/>
    <x v="14"/>
    <s v="tCO₂e"/>
    <n v="96"/>
  </r>
  <r>
    <x v="2"/>
    <s v="HUL"/>
    <x v="2"/>
    <x v="3"/>
    <x v="15"/>
    <s v="tCO₂e"/>
    <n v="14718"/>
  </r>
  <r>
    <x v="2"/>
    <s v="HUL"/>
    <x v="2"/>
    <x v="4"/>
    <x v="16"/>
    <s v="MT"/>
    <n v="12105"/>
  </r>
  <r>
    <x v="2"/>
    <s v="HUL"/>
    <x v="2"/>
    <x v="4"/>
    <x v="17"/>
    <s v="MT"/>
    <n v="62"/>
  </r>
  <r>
    <x v="2"/>
    <s v="HUL"/>
    <x v="2"/>
    <x v="4"/>
    <x v="18"/>
    <s v="MT"/>
    <n v="12"/>
  </r>
  <r>
    <x v="2"/>
    <s v="HUL"/>
    <x v="2"/>
    <x v="4"/>
    <x v="31"/>
    <s v="MT"/>
    <n v="7800"/>
  </r>
  <r>
    <x v="2"/>
    <s v="HUL"/>
    <x v="2"/>
    <x v="4"/>
    <x v="19"/>
    <s v="MT"/>
    <n v="53"/>
  </r>
  <r>
    <x v="2"/>
    <s v="HUL"/>
    <x v="2"/>
    <x v="4"/>
    <x v="20"/>
    <s v="MT"/>
    <n v="437"/>
  </r>
  <r>
    <x v="2"/>
    <s v="HUL"/>
    <x v="2"/>
    <x v="4"/>
    <x v="21"/>
    <s v="MT"/>
    <n v="82653"/>
  </r>
  <r>
    <x v="2"/>
    <s v="HUL"/>
    <x v="2"/>
    <x v="4"/>
    <x v="22"/>
    <s v="MT"/>
    <n v="103122"/>
  </r>
  <r>
    <x v="2"/>
    <s v="HUL"/>
    <x v="2"/>
    <x v="4"/>
    <x v="23"/>
    <s v="MT"/>
    <n v="59566"/>
  </r>
  <r>
    <x v="2"/>
    <s v="HUL"/>
    <x v="2"/>
    <x v="4"/>
    <x v="32"/>
    <s v="MT"/>
    <n v="43023"/>
  </r>
  <r>
    <x v="2"/>
    <s v="HUL"/>
    <x v="2"/>
    <x v="4"/>
    <x v="25"/>
    <s v="MT"/>
    <n v="181"/>
  </r>
  <r>
    <x v="2"/>
    <s v="HUL"/>
    <x v="2"/>
    <x v="4"/>
    <x v="26"/>
    <s v="MT"/>
    <n v="102770"/>
  </r>
  <r>
    <x v="2"/>
    <s v="HUL"/>
    <x v="2"/>
    <x v="4"/>
    <x v="27"/>
    <s v="MT"/>
    <n v="219"/>
  </r>
  <r>
    <x v="2"/>
    <s v="HUL"/>
    <x v="2"/>
    <x v="4"/>
    <x v="28"/>
    <s v="MT"/>
    <n v="133"/>
  </r>
  <r>
    <x v="2"/>
    <s v="HUL"/>
    <x v="2"/>
    <x v="4"/>
    <x v="33"/>
    <s v="MT"/>
    <n v="0"/>
  </r>
  <r>
    <x v="2"/>
    <s v="HUL"/>
    <x v="2"/>
    <x v="4"/>
    <x v="30"/>
    <s v="MT"/>
    <n v="352"/>
  </r>
  <r>
    <x v="3"/>
    <s v="RIL"/>
    <x v="0"/>
    <x v="0"/>
    <x v="0"/>
    <s v="GJ"/>
    <n v="4049102"/>
  </r>
  <r>
    <x v="3"/>
    <s v="RIL"/>
    <x v="0"/>
    <x v="0"/>
    <x v="1"/>
    <s v="GJ"/>
    <n v="478631072"/>
  </r>
  <r>
    <x v="3"/>
    <s v="RIL"/>
    <x v="0"/>
    <x v="0"/>
    <x v="34"/>
    <s v="GJ"/>
    <n v="3121240"/>
  </r>
  <r>
    <x v="3"/>
    <s v="RIL"/>
    <x v="0"/>
    <x v="0"/>
    <x v="2"/>
    <s v="GJ"/>
    <n v="485801414"/>
  </r>
  <r>
    <x v="3"/>
    <s v="RIL"/>
    <x v="0"/>
    <x v="1"/>
    <x v="3"/>
    <s v="kL"/>
    <n v="94960651"/>
  </r>
  <r>
    <x v="3"/>
    <s v="RIL"/>
    <x v="0"/>
    <x v="1"/>
    <x v="4"/>
    <s v="kL"/>
    <n v="2181763"/>
  </r>
  <r>
    <x v="3"/>
    <s v="RIL"/>
    <x v="0"/>
    <x v="1"/>
    <x v="5"/>
    <s v="kL"/>
    <n v="9771946"/>
  </r>
  <r>
    <x v="3"/>
    <s v="RIL"/>
    <x v="0"/>
    <x v="1"/>
    <x v="6"/>
    <s v="kL"/>
    <n v="95070746"/>
  </r>
  <r>
    <x v="3"/>
    <s v="RIL"/>
    <x v="0"/>
    <x v="1"/>
    <x v="7"/>
    <s v="kL"/>
    <n v="257701"/>
  </r>
  <r>
    <x v="3"/>
    <s v="RIL"/>
    <x v="0"/>
    <x v="1"/>
    <x v="8"/>
    <s v="kL"/>
    <n v="202242836"/>
  </r>
  <r>
    <x v="3"/>
    <s v="RIL"/>
    <x v="0"/>
    <x v="1"/>
    <x v="9"/>
    <s v="kL"/>
    <n v="202242836"/>
  </r>
  <r>
    <x v="3"/>
    <s v="RIL"/>
    <x v="0"/>
    <x v="2"/>
    <x v="10"/>
    <s v="Tonnes"/>
    <n v="36991"/>
  </r>
  <r>
    <x v="3"/>
    <s v="RIL"/>
    <x v="0"/>
    <x v="2"/>
    <x v="11"/>
    <s v="Tonnes"/>
    <n v="19193"/>
  </r>
  <r>
    <x v="3"/>
    <s v="RIL"/>
    <x v="0"/>
    <x v="2"/>
    <x v="12"/>
    <s v="Tonnes"/>
    <n v="1722"/>
  </r>
  <r>
    <x v="3"/>
    <s v="RIL"/>
    <x v="0"/>
    <x v="3"/>
    <x v="13"/>
    <s v="tCO₂e"/>
    <n v="37223578"/>
  </r>
  <r>
    <x v="3"/>
    <s v="RIL"/>
    <x v="0"/>
    <x v="3"/>
    <x v="14"/>
    <s v="tCO₂e"/>
    <n v="867610"/>
  </r>
  <r>
    <x v="3"/>
    <s v="RIL"/>
    <x v="0"/>
    <x v="3"/>
    <x v="15"/>
    <s v="tCO₂e"/>
    <n v="38091188"/>
  </r>
  <r>
    <x v="3"/>
    <s v="RIL"/>
    <x v="0"/>
    <x v="4"/>
    <x v="16"/>
    <s v="MT"/>
    <n v="3415"/>
  </r>
  <r>
    <x v="3"/>
    <s v="RIL"/>
    <x v="0"/>
    <x v="4"/>
    <x v="17"/>
    <s v="MT"/>
    <n v="73.06"/>
  </r>
  <r>
    <x v="3"/>
    <s v="RIL"/>
    <x v="0"/>
    <x v="4"/>
    <x v="18"/>
    <s v="MT"/>
    <n v="9.34"/>
  </r>
  <r>
    <x v="3"/>
    <s v="RIL"/>
    <x v="0"/>
    <x v="4"/>
    <x v="31"/>
    <s v="MT"/>
    <n v="0"/>
  </r>
  <r>
    <x v="3"/>
    <s v="RIL"/>
    <x v="0"/>
    <x v="4"/>
    <x v="19"/>
    <s v="MT"/>
    <n v="82.31"/>
  </r>
  <r>
    <x v="3"/>
    <s v="RIL"/>
    <x v="0"/>
    <x v="4"/>
    <x v="20"/>
    <s v="MT"/>
    <n v="72721"/>
  </r>
  <r>
    <x v="3"/>
    <s v="RIL"/>
    <x v="0"/>
    <x v="4"/>
    <x v="21"/>
    <s v="MT"/>
    <n v="800683"/>
  </r>
  <r>
    <x v="3"/>
    <s v="RIL"/>
    <x v="0"/>
    <x v="4"/>
    <x v="22"/>
    <s v="MT"/>
    <n v="876984"/>
  </r>
  <r>
    <x v="3"/>
    <s v="RIL"/>
    <x v="0"/>
    <x v="4"/>
    <x v="23"/>
    <s v="MT"/>
    <n v="806666"/>
  </r>
  <r>
    <x v="3"/>
    <s v="RIL"/>
    <x v="0"/>
    <x v="4"/>
    <x v="32"/>
    <s v="MT"/>
    <n v="862692"/>
  </r>
  <r>
    <x v="3"/>
    <s v="RIL"/>
    <x v="0"/>
    <x v="4"/>
    <x v="25"/>
    <s v="MT"/>
    <n v="0"/>
  </r>
  <r>
    <x v="3"/>
    <s v="RIL"/>
    <x v="0"/>
    <x v="4"/>
    <x v="26"/>
    <s v="MT"/>
    <n v="862692"/>
  </r>
  <r>
    <x v="3"/>
    <s v="RIL"/>
    <x v="0"/>
    <x v="4"/>
    <x v="27"/>
    <s v="MT"/>
    <n v="8157"/>
  </r>
  <r>
    <x v="3"/>
    <s v="RIL"/>
    <x v="0"/>
    <x v="4"/>
    <x v="28"/>
    <s v="MT"/>
    <n v="6126"/>
  </r>
  <r>
    <x v="3"/>
    <s v="RIL"/>
    <x v="0"/>
    <x v="4"/>
    <x v="33"/>
    <s v="MT"/>
    <n v="9"/>
  </r>
  <r>
    <x v="3"/>
    <s v="RIL"/>
    <x v="0"/>
    <x v="4"/>
    <x v="30"/>
    <s v="MT"/>
    <n v="14292"/>
  </r>
  <r>
    <x v="3"/>
    <s v="RIL"/>
    <x v="1"/>
    <x v="0"/>
    <x v="0"/>
    <s v="GJ"/>
    <n v="4270996"/>
  </r>
  <r>
    <x v="3"/>
    <s v="RIL"/>
    <x v="1"/>
    <x v="0"/>
    <x v="1"/>
    <s v="GJ"/>
    <n v="462614249"/>
  </r>
  <r>
    <x v="3"/>
    <s v="RIL"/>
    <x v="1"/>
    <x v="0"/>
    <x v="34"/>
    <s v="GJ"/>
    <n v="6705340"/>
  </r>
  <r>
    <x v="3"/>
    <s v="RIL"/>
    <x v="1"/>
    <x v="0"/>
    <x v="2"/>
    <s v="GJ"/>
    <n v="473590585"/>
  </r>
  <r>
    <x v="3"/>
    <s v="RIL"/>
    <x v="1"/>
    <x v="1"/>
    <x v="3"/>
    <s v="kL"/>
    <n v="93018091"/>
  </r>
  <r>
    <x v="3"/>
    <s v="RIL"/>
    <x v="1"/>
    <x v="1"/>
    <x v="4"/>
    <s v="kL"/>
    <n v="2349164"/>
  </r>
  <r>
    <x v="3"/>
    <s v="RIL"/>
    <x v="1"/>
    <x v="1"/>
    <x v="5"/>
    <s v="kL"/>
    <n v="11844277"/>
  </r>
  <r>
    <x v="3"/>
    <s v="RIL"/>
    <x v="1"/>
    <x v="1"/>
    <x v="6"/>
    <s v="kL"/>
    <n v="93084295"/>
  </r>
  <r>
    <x v="3"/>
    <s v="RIL"/>
    <x v="1"/>
    <x v="1"/>
    <x v="7"/>
    <s v="kL"/>
    <n v="223085"/>
  </r>
  <r>
    <x v="3"/>
    <s v="RIL"/>
    <x v="1"/>
    <x v="1"/>
    <x v="8"/>
    <s v="kL"/>
    <n v="200518912"/>
  </r>
  <r>
    <x v="3"/>
    <s v="RIL"/>
    <x v="1"/>
    <x v="1"/>
    <x v="9"/>
    <s v="kL"/>
    <n v="200518912"/>
  </r>
  <r>
    <x v="3"/>
    <s v="RIL"/>
    <x v="1"/>
    <x v="2"/>
    <x v="10"/>
    <s v="Tonnes"/>
    <n v="34337"/>
  </r>
  <r>
    <x v="3"/>
    <s v="RIL"/>
    <x v="1"/>
    <x v="2"/>
    <x v="11"/>
    <s v="Tonnes"/>
    <n v="17438"/>
  </r>
  <r>
    <x v="3"/>
    <s v="RIL"/>
    <x v="1"/>
    <x v="2"/>
    <x v="12"/>
    <s v="Tonnes"/>
    <n v="1659"/>
  </r>
  <r>
    <x v="3"/>
    <s v="RIL"/>
    <x v="1"/>
    <x v="3"/>
    <x v="13"/>
    <s v="tCO₂e"/>
    <n v="37095658"/>
  </r>
  <r>
    <x v="3"/>
    <s v="RIL"/>
    <x v="1"/>
    <x v="3"/>
    <x v="14"/>
    <s v="tCO₂e"/>
    <n v="850070"/>
  </r>
  <r>
    <x v="3"/>
    <s v="RIL"/>
    <x v="1"/>
    <x v="3"/>
    <x v="15"/>
    <s v="tCO₂e"/>
    <n v="37945728"/>
  </r>
  <r>
    <x v="3"/>
    <s v="RIL"/>
    <x v="1"/>
    <x v="4"/>
    <x v="16"/>
    <s v="MT"/>
    <n v="3707"/>
  </r>
  <r>
    <x v="3"/>
    <s v="RIL"/>
    <x v="1"/>
    <x v="4"/>
    <x v="17"/>
    <s v="MT"/>
    <n v="133.33000000000001"/>
  </r>
  <r>
    <x v="3"/>
    <s v="RIL"/>
    <x v="1"/>
    <x v="4"/>
    <x v="18"/>
    <s v="MT"/>
    <n v="10.15"/>
  </r>
  <r>
    <x v="3"/>
    <s v="RIL"/>
    <x v="1"/>
    <x v="4"/>
    <x v="31"/>
    <s v="MT"/>
    <n v="0"/>
  </r>
  <r>
    <x v="3"/>
    <s v="RIL"/>
    <x v="1"/>
    <x v="4"/>
    <x v="19"/>
    <s v="MT"/>
    <n v="283.37"/>
  </r>
  <r>
    <x v="3"/>
    <s v="RIL"/>
    <x v="1"/>
    <x v="4"/>
    <x v="20"/>
    <s v="MT"/>
    <n v="88605"/>
  </r>
  <r>
    <x v="3"/>
    <s v="RIL"/>
    <x v="1"/>
    <x v="4"/>
    <x v="21"/>
    <s v="MT"/>
    <n v="507870"/>
  </r>
  <r>
    <x v="3"/>
    <s v="RIL"/>
    <x v="1"/>
    <x v="4"/>
    <x v="22"/>
    <s v="MT"/>
    <n v="600609"/>
  </r>
  <r>
    <x v="3"/>
    <s v="RIL"/>
    <x v="1"/>
    <x v="4"/>
    <x v="23"/>
    <s v="MT"/>
    <n v="516501"/>
  </r>
  <r>
    <x v="3"/>
    <s v="RIL"/>
    <x v="1"/>
    <x v="4"/>
    <x v="32"/>
    <s v="MT"/>
    <n v="67339"/>
  </r>
  <r>
    <x v="3"/>
    <s v="RIL"/>
    <x v="1"/>
    <x v="4"/>
    <x v="25"/>
    <s v="MT"/>
    <n v="0"/>
  </r>
  <r>
    <x v="3"/>
    <s v="RIL"/>
    <x v="1"/>
    <x v="4"/>
    <x v="26"/>
    <s v="MT"/>
    <n v="583839"/>
  </r>
  <r>
    <x v="3"/>
    <s v="RIL"/>
    <x v="1"/>
    <x v="4"/>
    <x v="27"/>
    <s v="MT"/>
    <n v="8976"/>
  </r>
  <r>
    <x v="3"/>
    <s v="RIL"/>
    <x v="1"/>
    <x v="4"/>
    <x v="28"/>
    <s v="MT"/>
    <n v="7784"/>
  </r>
  <r>
    <x v="3"/>
    <s v="RIL"/>
    <x v="1"/>
    <x v="4"/>
    <x v="33"/>
    <s v="MT"/>
    <n v="10"/>
  </r>
  <r>
    <x v="3"/>
    <s v="RIL"/>
    <x v="1"/>
    <x v="4"/>
    <x v="30"/>
    <s v="MT"/>
    <n v="16770"/>
  </r>
  <r>
    <x v="3"/>
    <s v="RIL"/>
    <x v="2"/>
    <x v="0"/>
    <x v="0"/>
    <s v="GJ"/>
    <n v="3753732"/>
  </r>
  <r>
    <x v="3"/>
    <s v="RIL"/>
    <x v="2"/>
    <x v="0"/>
    <x v="1"/>
    <s v="GJ"/>
    <n v="460315753"/>
  </r>
  <r>
    <x v="3"/>
    <s v="RIL"/>
    <x v="2"/>
    <x v="0"/>
    <x v="34"/>
    <s v="GJ"/>
    <n v="131327"/>
  </r>
  <r>
    <x v="3"/>
    <s v="RIL"/>
    <x v="2"/>
    <x v="0"/>
    <x v="2"/>
    <s v="GJ"/>
    <n v="464200812"/>
  </r>
  <r>
    <x v="3"/>
    <s v="RIL"/>
    <x v="2"/>
    <x v="1"/>
    <x v="3"/>
    <s v="kL"/>
    <n v="98455582"/>
  </r>
  <r>
    <x v="3"/>
    <s v="RIL"/>
    <x v="2"/>
    <x v="1"/>
    <x v="4"/>
    <s v="kL"/>
    <n v="2426470"/>
  </r>
  <r>
    <x v="3"/>
    <s v="RIL"/>
    <x v="2"/>
    <x v="1"/>
    <x v="5"/>
    <s v="kL"/>
    <n v="12418520"/>
  </r>
  <r>
    <x v="3"/>
    <s v="RIL"/>
    <x v="2"/>
    <x v="1"/>
    <x v="6"/>
    <s v="kL"/>
    <n v="90578519"/>
  </r>
  <r>
    <x v="3"/>
    <s v="RIL"/>
    <x v="2"/>
    <x v="1"/>
    <x v="7"/>
    <s v="kL"/>
    <n v="220951"/>
  </r>
  <r>
    <x v="3"/>
    <s v="RIL"/>
    <x v="2"/>
    <x v="1"/>
    <x v="8"/>
    <s v="kL"/>
    <n v="204100042"/>
  </r>
  <r>
    <x v="3"/>
    <s v="RIL"/>
    <x v="2"/>
    <x v="1"/>
    <x v="9"/>
    <s v="kL"/>
    <n v="204100042"/>
  </r>
  <r>
    <x v="3"/>
    <s v="RIL"/>
    <x v="2"/>
    <x v="2"/>
    <x v="10"/>
    <s v="Tonnes"/>
    <n v="32485"/>
  </r>
  <r>
    <x v="3"/>
    <s v="RIL"/>
    <x v="2"/>
    <x v="2"/>
    <x v="11"/>
    <s v="Tonnes"/>
    <n v="14974"/>
  </r>
  <r>
    <x v="3"/>
    <s v="RIL"/>
    <x v="2"/>
    <x v="2"/>
    <x v="12"/>
    <s v="Tonnes"/>
    <n v="1280"/>
  </r>
  <r>
    <x v="3"/>
    <s v="RIL"/>
    <x v="2"/>
    <x v="3"/>
    <x v="13"/>
    <s v="tCO₂e"/>
    <n v="36900275"/>
  </r>
  <r>
    <x v="3"/>
    <s v="RIL"/>
    <x v="2"/>
    <x v="3"/>
    <x v="14"/>
    <s v="tCO₂e"/>
    <n v="781764"/>
  </r>
  <r>
    <x v="3"/>
    <s v="RIL"/>
    <x v="2"/>
    <x v="3"/>
    <x v="15"/>
    <s v="tCO₂e"/>
    <n v="37682039"/>
  </r>
  <r>
    <x v="3"/>
    <s v="RIL"/>
    <x v="2"/>
    <x v="4"/>
    <x v="16"/>
    <s v="MT"/>
    <n v="3518"/>
  </r>
  <r>
    <x v="3"/>
    <s v="RIL"/>
    <x v="2"/>
    <x v="4"/>
    <x v="17"/>
    <s v="MT"/>
    <n v="91"/>
  </r>
  <r>
    <x v="3"/>
    <s v="RIL"/>
    <x v="2"/>
    <x v="4"/>
    <x v="18"/>
    <s v="MT"/>
    <n v="10"/>
  </r>
  <r>
    <x v="3"/>
    <s v="RIL"/>
    <x v="2"/>
    <x v="4"/>
    <x v="31"/>
    <s v="MT"/>
    <n v="0"/>
  </r>
  <r>
    <x v="3"/>
    <s v="RIL"/>
    <x v="2"/>
    <x v="4"/>
    <x v="19"/>
    <s v="MT"/>
    <n v="185"/>
  </r>
  <r>
    <x v="3"/>
    <s v="RIL"/>
    <x v="2"/>
    <x v="4"/>
    <x v="20"/>
    <s v="MT"/>
    <n v="99229"/>
  </r>
  <r>
    <x v="3"/>
    <s v="RIL"/>
    <x v="2"/>
    <x v="4"/>
    <x v="21"/>
    <s v="MT"/>
    <n v="563013"/>
  </r>
  <r>
    <x v="3"/>
    <s v="RIL"/>
    <x v="2"/>
    <x v="4"/>
    <x v="22"/>
    <s v="MT"/>
    <n v="666046"/>
  </r>
  <r>
    <x v="3"/>
    <s v="RIL"/>
    <x v="2"/>
    <x v="4"/>
    <x v="23"/>
    <s v="MT"/>
    <n v="562805"/>
  </r>
  <r>
    <x v="3"/>
    <s v="RIL"/>
    <x v="2"/>
    <x v="4"/>
    <x v="32"/>
    <s v="MT"/>
    <n v="83624"/>
  </r>
  <r>
    <x v="3"/>
    <s v="RIL"/>
    <x v="2"/>
    <x v="4"/>
    <x v="25"/>
    <s v="MT"/>
    <n v="0"/>
  </r>
  <r>
    <x v="3"/>
    <s v="RIL"/>
    <x v="2"/>
    <x v="4"/>
    <x v="26"/>
    <s v="MT"/>
    <n v="646429"/>
  </r>
  <r>
    <x v="3"/>
    <s v="RIL"/>
    <x v="2"/>
    <x v="4"/>
    <x v="27"/>
    <s v="MT"/>
    <n v="12554"/>
  </r>
  <r>
    <x v="3"/>
    <s v="RIL"/>
    <x v="2"/>
    <x v="4"/>
    <x v="28"/>
    <s v="MT"/>
    <n v="7053"/>
  </r>
  <r>
    <x v="3"/>
    <s v="RIL"/>
    <x v="2"/>
    <x v="4"/>
    <x v="33"/>
    <s v="MT"/>
    <n v="10"/>
  </r>
  <r>
    <x v="3"/>
    <s v="RIL"/>
    <x v="2"/>
    <x v="4"/>
    <x v="30"/>
    <s v="MT"/>
    <n v="19617"/>
  </r>
  <r>
    <x v="4"/>
    <s v="TM"/>
    <x v="0"/>
    <x v="0"/>
    <x v="0"/>
    <s v="GJ"/>
    <n v="1154988"/>
  </r>
  <r>
    <x v="4"/>
    <s v="TM"/>
    <x v="0"/>
    <x v="0"/>
    <x v="1"/>
    <s v="GJ"/>
    <n v="599495"/>
  </r>
  <r>
    <x v="4"/>
    <s v="TM"/>
    <x v="0"/>
    <x v="0"/>
    <x v="34"/>
    <s v="GJ"/>
    <n v="0"/>
  </r>
  <r>
    <x v="4"/>
    <s v="TM"/>
    <x v="0"/>
    <x v="0"/>
    <x v="2"/>
    <s v="GJ"/>
    <n v="1754483"/>
  </r>
  <r>
    <x v="4"/>
    <s v="TM"/>
    <x v="0"/>
    <x v="1"/>
    <x v="3"/>
    <s v="kL"/>
    <n v="51662"/>
  </r>
  <r>
    <x v="4"/>
    <s v="TM"/>
    <x v="0"/>
    <x v="1"/>
    <x v="4"/>
    <s v="kL"/>
    <n v="489012"/>
  </r>
  <r>
    <x v="4"/>
    <s v="TM"/>
    <x v="0"/>
    <x v="1"/>
    <x v="5"/>
    <s v="kL"/>
    <n v="1963735"/>
  </r>
  <r>
    <x v="4"/>
    <s v="TM"/>
    <x v="0"/>
    <x v="1"/>
    <x v="6"/>
    <s v="kL"/>
    <n v="0"/>
  </r>
  <r>
    <x v="4"/>
    <s v="TM"/>
    <x v="0"/>
    <x v="1"/>
    <x v="7"/>
    <s v="kL"/>
    <n v="416976"/>
  </r>
  <r>
    <x v="4"/>
    <s v="TM"/>
    <x v="0"/>
    <x v="1"/>
    <x v="8"/>
    <s v="kL"/>
    <n v="2921385"/>
  </r>
  <r>
    <x v="4"/>
    <s v="TM"/>
    <x v="0"/>
    <x v="1"/>
    <x v="9"/>
    <s v="kL"/>
    <n v="2549050"/>
  </r>
  <r>
    <x v="4"/>
    <s v="TM"/>
    <x v="0"/>
    <x v="2"/>
    <x v="10"/>
    <s v="Tonnes"/>
    <n v="247"/>
  </r>
  <r>
    <x v="4"/>
    <s v="TM"/>
    <x v="0"/>
    <x v="2"/>
    <x v="11"/>
    <s v="Tonnes"/>
    <n v="83"/>
  </r>
  <r>
    <x v="4"/>
    <s v="TM"/>
    <x v="0"/>
    <x v="2"/>
    <x v="12"/>
    <s v="Tonnes"/>
    <n v="789"/>
  </r>
  <r>
    <x v="4"/>
    <s v="TM"/>
    <x v="0"/>
    <x v="2"/>
    <x v="35"/>
    <s v="kg"/>
    <n v="100"/>
  </r>
  <r>
    <x v="4"/>
    <s v="TM"/>
    <x v="0"/>
    <x v="3"/>
    <x v="13"/>
    <s v="MT"/>
    <n v="38407"/>
  </r>
  <r>
    <x v="4"/>
    <s v="TM"/>
    <x v="0"/>
    <x v="3"/>
    <x v="14"/>
    <s v="MT"/>
    <n v="187633"/>
  </r>
  <r>
    <x v="4"/>
    <s v="TM"/>
    <x v="0"/>
    <x v="3"/>
    <x v="15"/>
    <s v="MT"/>
    <n v="226040"/>
  </r>
  <r>
    <x v="4"/>
    <s v="TM"/>
    <x v="0"/>
    <x v="4"/>
    <x v="16"/>
    <s v="MT"/>
    <n v="1710"/>
  </r>
  <r>
    <x v="4"/>
    <s v="TM"/>
    <x v="0"/>
    <x v="4"/>
    <x v="17"/>
    <s v="MT"/>
    <n v="77"/>
  </r>
  <r>
    <x v="4"/>
    <s v="TM"/>
    <x v="0"/>
    <x v="4"/>
    <x v="18"/>
    <s v="MT"/>
    <n v="111"/>
  </r>
  <r>
    <x v="4"/>
    <s v="TM"/>
    <x v="0"/>
    <x v="4"/>
    <x v="31"/>
    <s v="MT"/>
    <n v="620"/>
  </r>
  <r>
    <x v="4"/>
    <s v="TM"/>
    <x v="0"/>
    <x v="4"/>
    <x v="19"/>
    <s v="MT"/>
    <n v="70"/>
  </r>
  <r>
    <x v="4"/>
    <s v="TM"/>
    <x v="0"/>
    <x v="4"/>
    <x v="20"/>
    <s v="MT"/>
    <n v="3592"/>
  </r>
  <r>
    <x v="4"/>
    <s v="TM"/>
    <x v="0"/>
    <x v="4"/>
    <x v="21"/>
    <s v="MT"/>
    <n v="84290"/>
  </r>
  <r>
    <x v="4"/>
    <s v="TM"/>
    <x v="0"/>
    <x v="4"/>
    <x v="22"/>
    <s v="MT"/>
    <n v="90470"/>
  </r>
  <r>
    <x v="4"/>
    <s v="TM"/>
    <x v="0"/>
    <x v="4"/>
    <x v="23"/>
    <s v="MT"/>
    <n v="45518"/>
  </r>
  <r>
    <x v="4"/>
    <s v="TM"/>
    <x v="0"/>
    <x v="4"/>
    <x v="32"/>
    <s v="MT"/>
    <n v="0"/>
  </r>
  <r>
    <x v="4"/>
    <s v="TM"/>
    <x v="0"/>
    <x v="4"/>
    <x v="25"/>
    <s v="MT"/>
    <n v="0"/>
  </r>
  <r>
    <x v="4"/>
    <s v="TM"/>
    <x v="0"/>
    <x v="4"/>
    <x v="26"/>
    <s v="MT"/>
    <n v="45518"/>
  </r>
  <r>
    <x v="4"/>
    <s v="TM"/>
    <x v="0"/>
    <x v="4"/>
    <x v="36"/>
    <s v="MT"/>
    <n v="48210"/>
  </r>
  <r>
    <x v="4"/>
    <s v="TM"/>
    <x v="0"/>
    <x v="4"/>
    <x v="37"/>
    <s v="MT"/>
    <n v="0"/>
  </r>
  <r>
    <x v="4"/>
    <s v="TM"/>
    <x v="0"/>
    <x v="4"/>
    <x v="29"/>
    <s v="MT"/>
    <n v="0"/>
  </r>
  <r>
    <x v="4"/>
    <s v="TM"/>
    <x v="0"/>
    <x v="4"/>
    <x v="30"/>
    <s v="MT"/>
    <n v="48210"/>
  </r>
  <r>
    <x v="4"/>
    <s v="TM"/>
    <x v="1"/>
    <x v="0"/>
    <x v="0"/>
    <s v="GJ"/>
    <n v="1229475"/>
  </r>
  <r>
    <x v="4"/>
    <s v="TM"/>
    <x v="1"/>
    <x v="0"/>
    <x v="1"/>
    <s v="GJ"/>
    <n v="654171"/>
  </r>
  <r>
    <x v="4"/>
    <s v="TM"/>
    <x v="1"/>
    <x v="0"/>
    <x v="34"/>
    <s v="GJ"/>
    <n v="0"/>
  </r>
  <r>
    <x v="4"/>
    <s v="TM"/>
    <x v="1"/>
    <x v="0"/>
    <x v="2"/>
    <s v="GJ"/>
    <n v="1883646"/>
  </r>
  <r>
    <x v="4"/>
    <s v="TM"/>
    <x v="1"/>
    <x v="1"/>
    <x v="3"/>
    <s v="kL"/>
    <n v="53801"/>
  </r>
  <r>
    <x v="4"/>
    <s v="TM"/>
    <x v="1"/>
    <x v="1"/>
    <x v="4"/>
    <s v="kL"/>
    <n v="504960"/>
  </r>
  <r>
    <x v="4"/>
    <s v="TM"/>
    <x v="1"/>
    <x v="1"/>
    <x v="5"/>
    <s v="kL"/>
    <n v="2817246"/>
  </r>
  <r>
    <x v="4"/>
    <s v="TM"/>
    <x v="1"/>
    <x v="1"/>
    <x v="6"/>
    <s v="kL"/>
    <n v="0"/>
  </r>
  <r>
    <x v="4"/>
    <s v="TM"/>
    <x v="1"/>
    <x v="1"/>
    <x v="7"/>
    <s v="kL"/>
    <n v="649036"/>
  </r>
  <r>
    <x v="4"/>
    <s v="TM"/>
    <x v="1"/>
    <x v="1"/>
    <x v="8"/>
    <s v="kL"/>
    <n v="4025043"/>
  </r>
  <r>
    <x v="4"/>
    <s v="TM"/>
    <x v="1"/>
    <x v="1"/>
    <x v="9"/>
    <s v="kL"/>
    <n v="3829298"/>
  </r>
  <r>
    <x v="4"/>
    <s v="TM"/>
    <x v="1"/>
    <x v="2"/>
    <x v="10"/>
    <s v="Tonnes"/>
    <n v="92"/>
  </r>
  <r>
    <x v="4"/>
    <s v="TM"/>
    <x v="1"/>
    <x v="2"/>
    <x v="11"/>
    <s v="Tonnes"/>
    <n v="26"/>
  </r>
  <r>
    <x v="4"/>
    <s v="TM"/>
    <x v="1"/>
    <x v="2"/>
    <x v="12"/>
    <s v="Tonnes"/>
    <n v="577"/>
  </r>
  <r>
    <x v="4"/>
    <s v="TM"/>
    <x v="1"/>
    <x v="2"/>
    <x v="35"/>
    <s v="kg"/>
    <n v="88"/>
  </r>
  <r>
    <x v="4"/>
    <s v="TM"/>
    <x v="1"/>
    <x v="3"/>
    <x v="13"/>
    <s v="MT"/>
    <n v="42200"/>
  </r>
  <r>
    <x v="4"/>
    <s v="TM"/>
    <x v="1"/>
    <x v="3"/>
    <x v="14"/>
    <s v="MT"/>
    <n v="185394"/>
  </r>
  <r>
    <x v="4"/>
    <s v="TM"/>
    <x v="1"/>
    <x v="3"/>
    <x v="15"/>
    <s v="MT"/>
    <n v="227594"/>
  </r>
  <r>
    <x v="4"/>
    <s v="TM"/>
    <x v="1"/>
    <x v="4"/>
    <x v="16"/>
    <s v="MT"/>
    <n v="2163"/>
  </r>
  <r>
    <x v="4"/>
    <s v="TM"/>
    <x v="1"/>
    <x v="4"/>
    <x v="17"/>
    <s v="MT"/>
    <n v="25"/>
  </r>
  <r>
    <x v="4"/>
    <s v="TM"/>
    <x v="1"/>
    <x v="4"/>
    <x v="18"/>
    <s v="MT"/>
    <n v="43"/>
  </r>
  <r>
    <x v="4"/>
    <s v="TM"/>
    <x v="1"/>
    <x v="4"/>
    <x v="31"/>
    <s v="MT"/>
    <n v="3727"/>
  </r>
  <r>
    <x v="4"/>
    <s v="TM"/>
    <x v="1"/>
    <x v="4"/>
    <x v="19"/>
    <s v="MT"/>
    <n v="157"/>
  </r>
  <r>
    <x v="4"/>
    <s v="TM"/>
    <x v="1"/>
    <x v="4"/>
    <x v="20"/>
    <s v="MT"/>
    <n v="4614"/>
  </r>
  <r>
    <x v="4"/>
    <s v="TM"/>
    <x v="1"/>
    <x v="4"/>
    <x v="21"/>
    <s v="MT"/>
    <n v="89042"/>
  </r>
  <r>
    <x v="4"/>
    <s v="TM"/>
    <x v="1"/>
    <x v="4"/>
    <x v="22"/>
    <s v="MT"/>
    <n v="99744"/>
  </r>
  <r>
    <x v="4"/>
    <s v="TM"/>
    <x v="1"/>
    <x v="4"/>
    <x v="23"/>
    <s v="MT"/>
    <n v="48321"/>
  </r>
  <r>
    <x v="4"/>
    <s v="TM"/>
    <x v="1"/>
    <x v="4"/>
    <x v="32"/>
    <s v="MT"/>
    <n v="0"/>
  </r>
  <r>
    <x v="4"/>
    <s v="TM"/>
    <x v="1"/>
    <x v="4"/>
    <x v="25"/>
    <s v="MT"/>
    <n v="0"/>
  </r>
  <r>
    <x v="4"/>
    <s v="TM"/>
    <x v="1"/>
    <x v="4"/>
    <x v="26"/>
    <s v="MT"/>
    <n v="48321"/>
  </r>
  <r>
    <x v="4"/>
    <s v="TM"/>
    <x v="1"/>
    <x v="4"/>
    <x v="36"/>
    <s v="MT"/>
    <n v="49887"/>
  </r>
  <r>
    <x v="4"/>
    <s v="TM"/>
    <x v="1"/>
    <x v="4"/>
    <x v="37"/>
    <s v="MT"/>
    <n v="0"/>
  </r>
  <r>
    <x v="4"/>
    <s v="TM"/>
    <x v="1"/>
    <x v="4"/>
    <x v="29"/>
    <s v="MT"/>
    <n v="0"/>
  </r>
  <r>
    <x v="4"/>
    <s v="TM"/>
    <x v="1"/>
    <x v="4"/>
    <x v="30"/>
    <s v="MT"/>
    <n v="49887"/>
  </r>
  <r>
    <x v="4"/>
    <s v="TM"/>
    <x v="2"/>
    <x v="0"/>
    <x v="0"/>
    <s v="GJ"/>
    <n v="1239502"/>
  </r>
  <r>
    <x v="4"/>
    <s v="TM"/>
    <x v="2"/>
    <x v="0"/>
    <x v="1"/>
    <s v="GJ"/>
    <n v="672786"/>
  </r>
  <r>
    <x v="4"/>
    <s v="TM"/>
    <x v="2"/>
    <x v="0"/>
    <x v="34"/>
    <s v="GJ"/>
    <n v="0"/>
  </r>
  <r>
    <x v="4"/>
    <s v="TM"/>
    <x v="2"/>
    <x v="0"/>
    <x v="2"/>
    <s v="GJ"/>
    <n v="1911748"/>
  </r>
  <r>
    <x v="4"/>
    <s v="TM"/>
    <x v="2"/>
    <x v="1"/>
    <x v="3"/>
    <s v="kL"/>
    <n v="169577"/>
  </r>
  <r>
    <x v="4"/>
    <s v="TM"/>
    <x v="2"/>
    <x v="1"/>
    <x v="4"/>
    <s v="kL"/>
    <n v="571963"/>
  </r>
  <r>
    <x v="4"/>
    <s v="TM"/>
    <x v="2"/>
    <x v="1"/>
    <x v="5"/>
    <s v="kL"/>
    <n v="2342418"/>
  </r>
  <r>
    <x v="4"/>
    <s v="TM"/>
    <x v="2"/>
    <x v="1"/>
    <x v="6"/>
    <s v="kL"/>
    <n v="0"/>
  </r>
  <r>
    <x v="4"/>
    <s v="TM"/>
    <x v="2"/>
    <x v="1"/>
    <x v="7"/>
    <s v="kL"/>
    <n v="0"/>
  </r>
  <r>
    <x v="4"/>
    <s v="TM"/>
    <x v="2"/>
    <x v="1"/>
    <x v="8"/>
    <s v="kL"/>
    <n v="3083958"/>
  </r>
  <r>
    <x v="4"/>
    <s v="TM"/>
    <x v="2"/>
    <x v="1"/>
    <x v="9"/>
    <s v="kL"/>
    <n v="2979832"/>
  </r>
  <r>
    <x v="4"/>
    <s v="TM"/>
    <x v="2"/>
    <x v="2"/>
    <x v="10"/>
    <s v="Tonnes"/>
    <n v="97"/>
  </r>
  <r>
    <x v="4"/>
    <s v="TM"/>
    <x v="2"/>
    <x v="2"/>
    <x v="11"/>
    <s v="Tonnes"/>
    <n v="14"/>
  </r>
  <r>
    <x v="4"/>
    <s v="TM"/>
    <x v="2"/>
    <x v="2"/>
    <x v="12"/>
    <s v="Tonnes"/>
    <n v="589"/>
  </r>
  <r>
    <x v="4"/>
    <s v="TM"/>
    <x v="2"/>
    <x v="2"/>
    <x v="35"/>
    <s v="kg"/>
    <n v="95"/>
  </r>
  <r>
    <x v="4"/>
    <s v="TM"/>
    <x v="2"/>
    <x v="3"/>
    <x v="13"/>
    <s v="MT"/>
    <n v="43325"/>
  </r>
  <r>
    <x v="4"/>
    <s v="TM"/>
    <x v="2"/>
    <x v="3"/>
    <x v="14"/>
    <s v="MT"/>
    <n v="164749"/>
  </r>
  <r>
    <x v="4"/>
    <s v="TM"/>
    <x v="2"/>
    <x v="3"/>
    <x v="15"/>
    <s v="MT"/>
    <n v="208074"/>
  </r>
  <r>
    <x v="4"/>
    <s v="TM"/>
    <x v="2"/>
    <x v="4"/>
    <x v="16"/>
    <s v="MT"/>
    <n v="1959"/>
  </r>
  <r>
    <x v="4"/>
    <s v="TM"/>
    <x v="2"/>
    <x v="4"/>
    <x v="17"/>
    <s v="MT"/>
    <n v="76"/>
  </r>
  <r>
    <x v="4"/>
    <s v="TM"/>
    <x v="2"/>
    <x v="4"/>
    <x v="18"/>
    <s v="MT"/>
    <n v="1.98"/>
  </r>
  <r>
    <x v="4"/>
    <s v="TM"/>
    <x v="2"/>
    <x v="4"/>
    <x v="31"/>
    <s v="MT"/>
    <n v="3180"/>
  </r>
  <r>
    <x v="4"/>
    <s v="TM"/>
    <x v="2"/>
    <x v="4"/>
    <x v="19"/>
    <s v="MT"/>
    <n v="233"/>
  </r>
  <r>
    <x v="4"/>
    <s v="TM"/>
    <x v="2"/>
    <x v="4"/>
    <x v="20"/>
    <s v="MT"/>
    <n v="4009"/>
  </r>
  <r>
    <x v="4"/>
    <s v="TM"/>
    <x v="2"/>
    <x v="4"/>
    <x v="21"/>
    <s v="MT"/>
    <n v="81488"/>
  </r>
  <r>
    <x v="4"/>
    <s v="TM"/>
    <x v="2"/>
    <x v="4"/>
    <x v="22"/>
    <s v="MT"/>
    <n v="90947"/>
  </r>
  <r>
    <x v="4"/>
    <s v="TM"/>
    <x v="2"/>
    <x v="4"/>
    <x v="23"/>
    <s v="MT"/>
    <n v="53728"/>
  </r>
  <r>
    <x v="4"/>
    <s v="TM"/>
    <x v="2"/>
    <x v="4"/>
    <x v="32"/>
    <s v="MT"/>
    <n v="0"/>
  </r>
  <r>
    <x v="4"/>
    <s v="TM"/>
    <x v="2"/>
    <x v="4"/>
    <x v="25"/>
    <s v="MT"/>
    <n v="0"/>
  </r>
  <r>
    <x v="4"/>
    <s v="TM"/>
    <x v="2"/>
    <x v="4"/>
    <x v="26"/>
    <s v="MT"/>
    <n v="58978"/>
  </r>
  <r>
    <x v="4"/>
    <s v="TM"/>
    <x v="2"/>
    <x v="4"/>
    <x v="36"/>
    <s v="MT"/>
    <n v="31969"/>
  </r>
  <r>
    <x v="4"/>
    <s v="TM"/>
    <x v="2"/>
    <x v="4"/>
    <x v="37"/>
    <s v="MT"/>
    <n v="0"/>
  </r>
  <r>
    <x v="4"/>
    <s v="TM"/>
    <x v="2"/>
    <x v="4"/>
    <x v="29"/>
    <s v="MT"/>
    <n v="0"/>
  </r>
  <r>
    <x v="4"/>
    <s v="TM"/>
    <x v="2"/>
    <x v="4"/>
    <x v="30"/>
    <s v="MT"/>
    <n v="31969"/>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AD8933C-C626-4120-91A9-69051692F580}" name="PivotTable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6">
  <location ref="A4:E9" firstHeaderRow="1" firstDataRow="2" firstDataCol="1" rowPageCount="2" colPageCount="1"/>
  <pivotFields count="7">
    <pivotField axis="axisCol" showAll="0">
      <items count="6">
        <item x="0"/>
        <item h="1" x="1"/>
        <item x="2"/>
        <item h="1" x="3"/>
        <item x="4"/>
        <item t="default"/>
      </items>
    </pivotField>
    <pivotField showAll="0"/>
    <pivotField axis="axisRow" showAll="0">
      <items count="4">
        <item x="0"/>
        <item x="1"/>
        <item x="2"/>
        <item t="default"/>
      </items>
    </pivotField>
    <pivotField axis="axisPage" showAll="0">
      <items count="6">
        <item x="2"/>
        <item x="0"/>
        <item x="3"/>
        <item x="4"/>
        <item x="1"/>
        <item t="default"/>
      </items>
    </pivotField>
    <pivotField axis="axisPage" showAll="0">
      <items count="39">
        <item x="19"/>
        <item x="18"/>
        <item x="31"/>
        <item x="0"/>
        <item x="17"/>
        <item x="1"/>
        <item x="4"/>
        <item x="36"/>
        <item x="27"/>
        <item x="37"/>
        <item x="28"/>
        <item x="10"/>
        <item x="35"/>
        <item x="29"/>
        <item x="33"/>
        <item x="34"/>
        <item x="20"/>
        <item x="21"/>
        <item x="25"/>
        <item x="7"/>
        <item x="12"/>
        <item x="16"/>
        <item x="13"/>
        <item x="15"/>
        <item x="14"/>
        <item x="6"/>
        <item x="11"/>
        <item x="3"/>
        <item x="5"/>
        <item x="2"/>
        <item x="30"/>
        <item x="22"/>
        <item x="26"/>
        <item x="9"/>
        <item x="8"/>
        <item x="23"/>
        <item x="24"/>
        <item x="32"/>
        <item t="default"/>
      </items>
    </pivotField>
    <pivotField showAll="0"/>
    <pivotField dataField="1" showAll="0"/>
  </pivotFields>
  <rowFields count="1">
    <field x="2"/>
  </rowFields>
  <rowItems count="4">
    <i>
      <x/>
    </i>
    <i>
      <x v="1"/>
    </i>
    <i>
      <x v="2"/>
    </i>
    <i t="grand">
      <x/>
    </i>
  </rowItems>
  <colFields count="1">
    <field x="0"/>
  </colFields>
  <colItems count="4">
    <i>
      <x/>
    </i>
    <i>
      <x v="2"/>
    </i>
    <i>
      <x v="4"/>
    </i>
    <i t="grand">
      <x/>
    </i>
  </colItems>
  <pageFields count="2">
    <pageField fld="3" item="1" hier="-1"/>
    <pageField fld="4" item="29" hier="-1"/>
  </pageFields>
  <dataFields count="1">
    <dataField name="Sum of Value" fld="6" baseField="0" baseItem="0" numFmtId="164"/>
  </dataFields>
  <formats count="22">
    <format dxfId="197">
      <pivotArea collapsedLevelsAreSubtotals="1" fieldPosition="0">
        <references count="2">
          <reference field="0" count="1" selected="0">
            <x v="1"/>
          </reference>
          <reference field="2" count="1">
            <x v="1"/>
          </reference>
        </references>
      </pivotArea>
    </format>
    <format dxfId="196">
      <pivotArea outline="0" collapsedLevelsAreSubtotals="1" fieldPosition="0"/>
    </format>
    <format dxfId="195">
      <pivotArea type="all" dataOnly="0" outline="0" fieldPosition="0"/>
    </format>
    <format dxfId="194">
      <pivotArea outline="0" collapsedLevelsAreSubtotals="1" fieldPosition="0"/>
    </format>
    <format dxfId="193">
      <pivotArea type="origin" dataOnly="0" labelOnly="1" outline="0" fieldPosition="0"/>
    </format>
    <format dxfId="192">
      <pivotArea field="0" type="button" dataOnly="0" labelOnly="1" outline="0" axis="axisCol" fieldPosition="0"/>
    </format>
    <format dxfId="191">
      <pivotArea type="topRight" dataOnly="0" labelOnly="1" outline="0" fieldPosition="0"/>
    </format>
    <format dxfId="190">
      <pivotArea field="2" type="button" dataOnly="0" labelOnly="1" outline="0" axis="axisRow" fieldPosition="0"/>
    </format>
    <format dxfId="189">
      <pivotArea dataOnly="0" labelOnly="1" fieldPosition="0">
        <references count="1">
          <reference field="2" count="0"/>
        </references>
      </pivotArea>
    </format>
    <format dxfId="188">
      <pivotArea dataOnly="0" labelOnly="1" grandRow="1" outline="0" fieldPosition="0"/>
    </format>
    <format dxfId="187">
      <pivotArea dataOnly="0" labelOnly="1" fieldPosition="0">
        <references count="1">
          <reference field="0" count="0"/>
        </references>
      </pivotArea>
    </format>
    <format dxfId="186">
      <pivotArea dataOnly="0" labelOnly="1" grandCol="1" outline="0" fieldPosition="0"/>
    </format>
    <format dxfId="185">
      <pivotArea type="all" dataOnly="0" outline="0" fieldPosition="0"/>
    </format>
    <format dxfId="184">
      <pivotArea outline="0" collapsedLevelsAreSubtotals="1" fieldPosition="0"/>
    </format>
    <format dxfId="183">
      <pivotArea type="origin" dataOnly="0" labelOnly="1" outline="0" fieldPosition="0"/>
    </format>
    <format dxfId="182">
      <pivotArea field="0" type="button" dataOnly="0" labelOnly="1" outline="0" axis="axisCol" fieldPosition="0"/>
    </format>
    <format dxfId="181">
      <pivotArea type="topRight" dataOnly="0" labelOnly="1" outline="0" fieldPosition="0"/>
    </format>
    <format dxfId="180">
      <pivotArea field="2" type="button" dataOnly="0" labelOnly="1" outline="0" axis="axisRow" fieldPosition="0"/>
    </format>
    <format dxfId="179">
      <pivotArea dataOnly="0" labelOnly="1" fieldPosition="0">
        <references count="1">
          <reference field="2" count="0"/>
        </references>
      </pivotArea>
    </format>
    <format dxfId="178">
      <pivotArea dataOnly="0" labelOnly="1" grandRow="1" outline="0" fieldPosition="0"/>
    </format>
    <format dxfId="177">
      <pivotArea dataOnly="0" labelOnly="1" fieldPosition="0">
        <references count="1">
          <reference field="0" count="0"/>
        </references>
      </pivotArea>
    </format>
    <format dxfId="176">
      <pivotArea dataOnly="0" labelOnly="1" grandCol="1" outline="0" fieldPosition="0"/>
    </format>
  </formats>
  <chartFormats count="5">
    <chartFormat chart="8" format="5" series="1">
      <pivotArea type="data" outline="0" fieldPosition="0">
        <references count="2">
          <reference field="4294967294" count="1" selected="0">
            <x v="0"/>
          </reference>
          <reference field="0" count="1" selected="0">
            <x v="0"/>
          </reference>
        </references>
      </pivotArea>
    </chartFormat>
    <chartFormat chart="8" format="6" series="1">
      <pivotArea type="data" outline="0" fieldPosition="0">
        <references count="2">
          <reference field="4294967294" count="1" selected="0">
            <x v="0"/>
          </reference>
          <reference field="0" count="1" selected="0">
            <x v="1"/>
          </reference>
        </references>
      </pivotArea>
    </chartFormat>
    <chartFormat chart="8" format="7" series="1">
      <pivotArea type="data" outline="0" fieldPosition="0">
        <references count="2">
          <reference field="4294967294" count="1" selected="0">
            <x v="0"/>
          </reference>
          <reference field="0" count="1" selected="0">
            <x v="2"/>
          </reference>
        </references>
      </pivotArea>
    </chartFormat>
    <chartFormat chart="8" format="8" series="1">
      <pivotArea type="data" outline="0" fieldPosition="0">
        <references count="2">
          <reference field="4294967294" count="1" selected="0">
            <x v="0"/>
          </reference>
          <reference field="0" count="1" selected="0">
            <x v="3"/>
          </reference>
        </references>
      </pivotArea>
    </chartFormat>
    <chartFormat chart="8" format="9" series="1">
      <pivotArea type="data" outline="0" fieldPosition="0">
        <references count="2">
          <reference field="4294967294" count="1" selected="0">
            <x v="0"/>
          </reference>
          <reference field="0"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2D760D6-7BED-4E87-B08B-CCF000B1B5F4}" name="PivotTable2"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7">
  <location ref="A4:E11" firstHeaderRow="1" firstDataRow="2" firstDataCol="1" rowPageCount="2" colPageCount="1"/>
  <pivotFields count="7">
    <pivotField axis="axisRow" showAll="0">
      <items count="6">
        <item x="0"/>
        <item x="1"/>
        <item x="2"/>
        <item x="3"/>
        <item x="4"/>
        <item t="default"/>
      </items>
    </pivotField>
    <pivotField showAll="0"/>
    <pivotField axis="axisCol" showAll="0">
      <items count="4">
        <item x="0"/>
        <item x="1"/>
        <item x="2"/>
        <item t="default"/>
      </items>
    </pivotField>
    <pivotField axis="axisPage" showAll="0">
      <items count="6">
        <item x="2"/>
        <item x="0"/>
        <item x="3"/>
        <item x="4"/>
        <item x="1"/>
        <item t="default"/>
      </items>
    </pivotField>
    <pivotField axis="axisPage" showAll="0">
      <items count="39">
        <item x="19"/>
        <item x="18"/>
        <item x="31"/>
        <item x="0"/>
        <item x="17"/>
        <item x="1"/>
        <item x="4"/>
        <item x="36"/>
        <item x="27"/>
        <item x="37"/>
        <item x="28"/>
        <item x="10"/>
        <item x="35"/>
        <item x="29"/>
        <item x="33"/>
        <item x="34"/>
        <item x="20"/>
        <item x="21"/>
        <item x="25"/>
        <item x="7"/>
        <item x="12"/>
        <item x="16"/>
        <item x="13"/>
        <item x="15"/>
        <item x="14"/>
        <item x="6"/>
        <item x="11"/>
        <item x="3"/>
        <item x="5"/>
        <item x="2"/>
        <item x="30"/>
        <item x="22"/>
        <item x="26"/>
        <item x="9"/>
        <item x="8"/>
        <item x="23"/>
        <item x="24"/>
        <item x="32"/>
        <item t="default"/>
      </items>
    </pivotField>
    <pivotField showAll="0"/>
    <pivotField dataField="1" showAll="0"/>
  </pivotFields>
  <rowFields count="1">
    <field x="0"/>
  </rowFields>
  <rowItems count="6">
    <i>
      <x/>
    </i>
    <i>
      <x v="1"/>
    </i>
    <i>
      <x v="2"/>
    </i>
    <i>
      <x v="3"/>
    </i>
    <i>
      <x v="4"/>
    </i>
    <i t="grand">
      <x/>
    </i>
  </rowItems>
  <colFields count="1">
    <field x="2"/>
  </colFields>
  <colItems count="4">
    <i>
      <x/>
    </i>
    <i>
      <x v="1"/>
    </i>
    <i>
      <x v="2"/>
    </i>
    <i t="grand">
      <x/>
    </i>
  </colItems>
  <pageFields count="2">
    <pageField fld="3" item="2" hier="-1"/>
    <pageField fld="4" item="23" hier="-1"/>
  </pageFields>
  <dataFields count="1">
    <dataField name="Sum of Value" fld="6" baseField="0" baseItem="0" numFmtId="164"/>
  </dataFields>
  <formats count="21">
    <format dxfId="175">
      <pivotArea type="all" dataOnly="0" outline="0" fieldPosition="0"/>
    </format>
    <format dxfId="174">
      <pivotArea outline="0" collapsedLevelsAreSubtotals="1" fieldPosition="0"/>
    </format>
    <format dxfId="173">
      <pivotArea type="origin" dataOnly="0" labelOnly="1" outline="0" fieldPosition="0"/>
    </format>
    <format dxfId="172">
      <pivotArea field="2" type="button" dataOnly="0" labelOnly="1" outline="0" axis="axisCol" fieldPosition="0"/>
    </format>
    <format dxfId="171">
      <pivotArea type="topRight" dataOnly="0" labelOnly="1" outline="0" fieldPosition="0"/>
    </format>
    <format dxfId="170">
      <pivotArea field="0" type="button" dataOnly="0" labelOnly="1" outline="0" axis="axisRow" fieldPosition="0"/>
    </format>
    <format dxfId="169">
      <pivotArea dataOnly="0" labelOnly="1" fieldPosition="0">
        <references count="1">
          <reference field="0" count="0"/>
        </references>
      </pivotArea>
    </format>
    <format dxfId="168">
      <pivotArea dataOnly="0" labelOnly="1" grandRow="1" outline="0" fieldPosition="0"/>
    </format>
    <format dxfId="167">
      <pivotArea dataOnly="0" labelOnly="1" fieldPosition="0">
        <references count="1">
          <reference field="2" count="0"/>
        </references>
      </pivotArea>
    </format>
    <format dxfId="166">
      <pivotArea dataOnly="0" labelOnly="1" grandCol="1" outline="0" fieldPosition="0"/>
    </format>
    <format dxfId="165">
      <pivotArea type="all" dataOnly="0" outline="0" fieldPosition="0"/>
    </format>
    <format dxfId="164">
      <pivotArea outline="0" collapsedLevelsAreSubtotals="1" fieldPosition="0"/>
    </format>
    <format dxfId="163">
      <pivotArea type="origin" dataOnly="0" labelOnly="1" outline="0" fieldPosition="0"/>
    </format>
    <format dxfId="162">
      <pivotArea field="2" type="button" dataOnly="0" labelOnly="1" outline="0" axis="axisCol" fieldPosition="0"/>
    </format>
    <format dxfId="161">
      <pivotArea type="topRight" dataOnly="0" labelOnly="1" outline="0" fieldPosition="0"/>
    </format>
    <format dxfId="160">
      <pivotArea field="0" type="button" dataOnly="0" labelOnly="1" outline="0" axis="axisRow" fieldPosition="0"/>
    </format>
    <format dxfId="159">
      <pivotArea dataOnly="0" labelOnly="1" fieldPosition="0">
        <references count="1">
          <reference field="0" count="0"/>
        </references>
      </pivotArea>
    </format>
    <format dxfId="158">
      <pivotArea dataOnly="0" labelOnly="1" grandRow="1" outline="0" fieldPosition="0"/>
    </format>
    <format dxfId="157">
      <pivotArea dataOnly="0" labelOnly="1" fieldPosition="0">
        <references count="1">
          <reference field="2" count="0"/>
        </references>
      </pivotArea>
    </format>
    <format dxfId="156">
      <pivotArea dataOnly="0" labelOnly="1" grandCol="1" outline="0" fieldPosition="0"/>
    </format>
    <format dxfId="155">
      <pivotArea outline="0" collapsedLevelsAreSubtotals="1" fieldPosition="0"/>
    </format>
  </formats>
  <chartFormats count="3">
    <chartFormat chart="4" format="3" series="1">
      <pivotArea type="data" outline="0" fieldPosition="0">
        <references count="2">
          <reference field="4294967294" count="1" selected="0">
            <x v="0"/>
          </reference>
          <reference field="2" count="1" selected="0">
            <x v="0"/>
          </reference>
        </references>
      </pivotArea>
    </chartFormat>
    <chartFormat chart="4" format="4" series="1">
      <pivotArea type="data" outline="0" fieldPosition="0">
        <references count="2">
          <reference field="4294967294" count="1" selected="0">
            <x v="0"/>
          </reference>
          <reference field="2" count="1" selected="0">
            <x v="1"/>
          </reference>
        </references>
      </pivotArea>
    </chartFormat>
    <chartFormat chart="4" format="5" series="1">
      <pivotArea type="data" outline="0" fieldPosition="0">
        <references count="2">
          <reference field="4294967294" count="1" selected="0">
            <x v="0"/>
          </reference>
          <reference field="2"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1F05A169-6262-43BB-AE07-6B7E458955F9}" name="PivotTable3"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6">
  <location ref="A4:E13" firstHeaderRow="1" firstDataRow="2" firstDataCol="1" rowPageCount="2" colPageCount="1"/>
  <pivotFields count="7">
    <pivotField axis="axisPage" showAll="0">
      <items count="6">
        <item x="0"/>
        <item x="1"/>
        <item x="2"/>
        <item x="3"/>
        <item x="4"/>
        <item t="default"/>
      </items>
    </pivotField>
    <pivotField showAll="0"/>
    <pivotField axis="axisCol" showAll="0">
      <items count="4">
        <item x="0"/>
        <item x="1"/>
        <item x="2"/>
        <item t="default"/>
      </items>
    </pivotField>
    <pivotField axis="axisPage" showAll="0">
      <items count="6">
        <item x="2"/>
        <item x="0"/>
        <item x="3"/>
        <item x="4"/>
        <item x="1"/>
        <item t="default"/>
      </items>
    </pivotField>
    <pivotField axis="axisRow" showAll="0">
      <items count="39">
        <item x="19"/>
        <item x="18"/>
        <item x="31"/>
        <item x="0"/>
        <item x="17"/>
        <item x="1"/>
        <item x="4"/>
        <item x="36"/>
        <item x="27"/>
        <item x="37"/>
        <item x="28"/>
        <item x="10"/>
        <item x="35"/>
        <item x="29"/>
        <item x="33"/>
        <item x="34"/>
        <item x="20"/>
        <item x="21"/>
        <item x="25"/>
        <item x="7"/>
        <item x="12"/>
        <item x="16"/>
        <item x="13"/>
        <item x="15"/>
        <item x="14"/>
        <item x="6"/>
        <item x="11"/>
        <item x="3"/>
        <item x="5"/>
        <item x="2"/>
        <item x="30"/>
        <item x="22"/>
        <item x="26"/>
        <item x="9"/>
        <item x="8"/>
        <item x="23"/>
        <item x="24"/>
        <item x="32"/>
        <item t="default"/>
      </items>
    </pivotField>
    <pivotField showAll="0"/>
    <pivotField dataField="1" showAll="0"/>
  </pivotFields>
  <rowFields count="1">
    <field x="4"/>
  </rowFields>
  <rowItems count="8">
    <i>
      <x v="6"/>
    </i>
    <i>
      <x v="19"/>
    </i>
    <i>
      <x v="25"/>
    </i>
    <i>
      <x v="27"/>
    </i>
    <i>
      <x v="28"/>
    </i>
    <i>
      <x v="33"/>
    </i>
    <i>
      <x v="34"/>
    </i>
    <i t="grand">
      <x/>
    </i>
  </rowItems>
  <colFields count="1">
    <field x="2"/>
  </colFields>
  <colItems count="4">
    <i>
      <x/>
    </i>
    <i>
      <x v="1"/>
    </i>
    <i>
      <x v="2"/>
    </i>
    <i t="grand">
      <x/>
    </i>
  </colItems>
  <pageFields count="2">
    <pageField fld="3" item="4" hier="-1"/>
    <pageField fld="0" item="0" hier="-1"/>
  </pageFields>
  <dataFields count="1">
    <dataField name="Sum of Value" fld="6" baseField="0" baseItem="0" numFmtId="164"/>
  </dataFields>
  <formats count="1">
    <format dxfId="154">
      <pivotArea outline="0" collapsedLevelsAreSubtotals="1" fieldPosition="0"/>
    </format>
  </formats>
  <chartFormats count="3">
    <chartFormat chart="2" format="3" series="1">
      <pivotArea type="data" outline="0" fieldPosition="0">
        <references count="2">
          <reference field="4294967294" count="1" selected="0">
            <x v="0"/>
          </reference>
          <reference field="2" count="1" selected="0">
            <x v="0"/>
          </reference>
        </references>
      </pivotArea>
    </chartFormat>
    <chartFormat chart="2" format="4" series="1">
      <pivotArea type="data" outline="0" fieldPosition="0">
        <references count="2">
          <reference field="4294967294" count="1" selected="0">
            <x v="0"/>
          </reference>
          <reference field="2" count="1" selected="0">
            <x v="1"/>
          </reference>
        </references>
      </pivotArea>
    </chartFormat>
    <chartFormat chart="2" format="5" series="1">
      <pivotArea type="data" outline="0" fieldPosition="0">
        <references count="2">
          <reference field="4294967294" count="1" selected="0">
            <x v="0"/>
          </reference>
          <reference field="2"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ompany1" xr10:uid="{D1CAE99A-8FE4-4637-805F-7A4CFA32E1FC}" sourceName="Company">
  <pivotTables>
    <pivotTable tabId="6" name="PivotTable1"/>
  </pivotTables>
  <data>
    <tabular pivotCacheId="2053647382">
      <items count="5">
        <i x="0" s="1"/>
        <i x="1"/>
        <i x="2" s="1"/>
        <i x="3"/>
        <i x="4"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1" xr10:uid="{29E74398-7B4D-47B5-A3D0-E5C4184A8AED}" sourceName="Year">
  <pivotTables>
    <pivotTable tabId="6" name="PivotTable1"/>
  </pivotTables>
  <data>
    <tabular pivotCacheId="2053647382">
      <items count="3">
        <i x="0" s="1"/>
        <i x="1" s="1"/>
        <i x="2"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ompany 1" xr10:uid="{6A963A72-C990-40CC-B6DC-B096B48E107A}" cache="Slicer_Company1" caption="Company" rowHeight="241300"/>
  <slicer name="Year 1" xr10:uid="{656EA818-B556-4999-BD12-39065DD731B4}" cache="Slicer_Year1" caption="Year"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994992FA-5C00-4068-B278-8FCBD77D21A7}" name="ESG_DATA" displayName="ESG_DATA" ref="A1:G490" totalsRowShown="0" headerRowDxfId="206" dataDxfId="205">
  <autoFilter ref="A1:G490" xr:uid="{994992FA-5C00-4068-B278-8FCBD77D21A7}"/>
  <tableColumns count="7">
    <tableColumn id="1" xr3:uid="{8532F918-0EAC-45AD-A9B9-00D65C9DF89A}" name="Company" dataDxfId="204"/>
    <tableColumn id="2" xr3:uid="{76D9100E-E087-4DBE-9C7A-9E53223A4E8D}" name="Company Code" dataDxfId="203"/>
    <tableColumn id="3" xr3:uid="{B4A033CD-C4A7-474B-BA21-CB76677BC03D}" name="Year" dataDxfId="202"/>
    <tableColumn id="4" xr3:uid="{71F84879-023D-4F56-8378-6828C8C43668}" name="Metric" dataDxfId="201"/>
    <tableColumn id="5" xr3:uid="{91FB9E98-C6B4-4EF0-AA3B-3F3AB313C404}" name="Sub-Metric" dataDxfId="200"/>
    <tableColumn id="6" xr3:uid="{82F0D7F1-0C5D-4FD0-AA19-F7C24866857D}" name="Unit" dataDxfId="199"/>
    <tableColumn id="7" xr3:uid="{6FF6D3DD-CE35-4167-9A7A-8EC5FC13168B}" name="Value" dataDxfId="198"/>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1" Type="http://schemas.openxmlformats.org/officeDocument/2006/relationships/pivotTable" Target="../pivotTables/pivotTable2.xml"/></Relationships>
</file>

<file path=xl/worksheets/_rels/sheet4.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Q490"/>
  <sheetViews>
    <sheetView workbookViewId="0">
      <selection activeCell="A413" sqref="A413"/>
    </sheetView>
  </sheetViews>
  <sheetFormatPr defaultColWidth="13.28515625" defaultRowHeight="18.75" x14ac:dyDescent="0.3"/>
  <cols>
    <col min="1" max="1" width="54.7109375" style="3" customWidth="1"/>
    <col min="2" max="2" width="21.140625" style="3" customWidth="1"/>
    <col min="3" max="3" width="15.140625" style="3" customWidth="1"/>
    <col min="4" max="4" width="21.85546875" style="3" customWidth="1"/>
    <col min="5" max="5" width="44.140625" style="3" customWidth="1"/>
    <col min="6" max="16384" width="13.28515625" style="3"/>
  </cols>
  <sheetData>
    <row r="1" spans="1:17" s="2" customFormat="1" x14ac:dyDescent="0.3">
      <c r="A1" s="8" t="s">
        <v>0</v>
      </c>
      <c r="B1" s="1" t="s">
        <v>66</v>
      </c>
      <c r="C1" s="1" t="s">
        <v>1</v>
      </c>
      <c r="D1" s="1" t="s">
        <v>2</v>
      </c>
      <c r="E1" s="1" t="s">
        <v>3</v>
      </c>
      <c r="F1" s="1" t="s">
        <v>5</v>
      </c>
      <c r="G1" s="1" t="s">
        <v>4</v>
      </c>
    </row>
    <row r="2" spans="1:17" s="2" customFormat="1" x14ac:dyDescent="0.3">
      <c r="A2" s="3" t="s">
        <v>65</v>
      </c>
      <c r="B2" s="5" t="s">
        <v>7</v>
      </c>
      <c r="C2" s="5" t="s">
        <v>8</v>
      </c>
      <c r="D2" s="5" t="s">
        <v>6</v>
      </c>
      <c r="E2" s="5" t="s">
        <v>44</v>
      </c>
      <c r="F2" s="5" t="s">
        <v>45</v>
      </c>
      <c r="G2" s="5">
        <v>1086392</v>
      </c>
    </row>
    <row r="3" spans="1:17" s="2" customFormat="1" x14ac:dyDescent="0.3">
      <c r="A3" s="3" t="s">
        <v>65</v>
      </c>
      <c r="B3" s="5" t="s">
        <v>7</v>
      </c>
      <c r="C3" s="5" t="s">
        <v>8</v>
      </c>
      <c r="D3" s="5" t="s">
        <v>6</v>
      </c>
      <c r="E3" s="5" t="s">
        <v>46</v>
      </c>
      <c r="F3" s="5" t="s">
        <v>45</v>
      </c>
      <c r="G3" s="5">
        <v>1712444</v>
      </c>
    </row>
    <row r="4" spans="1:17" s="2" customFormat="1" x14ac:dyDescent="0.3">
      <c r="A4" s="3" t="s">
        <v>65</v>
      </c>
      <c r="B4" s="5" t="s">
        <v>7</v>
      </c>
      <c r="C4" s="5" t="s">
        <v>8</v>
      </c>
      <c r="D4" s="5" t="s">
        <v>6</v>
      </c>
      <c r="E4" s="5" t="s">
        <v>47</v>
      </c>
      <c r="F4" s="5" t="s">
        <v>45</v>
      </c>
      <c r="G4" s="5">
        <v>2798837</v>
      </c>
    </row>
    <row r="5" spans="1:17" s="2" customFormat="1" x14ac:dyDescent="0.3">
      <c r="A5" s="3" t="s">
        <v>65</v>
      </c>
      <c r="B5" s="5" t="s">
        <v>7</v>
      </c>
      <c r="C5" s="5" t="s">
        <v>8</v>
      </c>
      <c r="D5" s="5" t="s">
        <v>9</v>
      </c>
      <c r="E5" s="5" t="s">
        <v>48</v>
      </c>
      <c r="F5" s="5" t="s">
        <v>11</v>
      </c>
      <c r="G5" s="5">
        <v>347547</v>
      </c>
    </row>
    <row r="6" spans="1:17" s="2" customFormat="1" x14ac:dyDescent="0.3">
      <c r="A6" s="3" t="s">
        <v>65</v>
      </c>
      <c r="B6" s="5" t="s">
        <v>7</v>
      </c>
      <c r="C6" s="5" t="s">
        <v>8</v>
      </c>
      <c r="D6" s="5" t="s">
        <v>9</v>
      </c>
      <c r="E6" s="5" t="s">
        <v>49</v>
      </c>
      <c r="F6" s="5" t="s">
        <v>11</v>
      </c>
      <c r="G6" s="5">
        <v>221382</v>
      </c>
    </row>
    <row r="7" spans="1:17" x14ac:dyDescent="0.3">
      <c r="A7" s="3" t="s">
        <v>65</v>
      </c>
      <c r="B7" s="5" t="s">
        <v>7</v>
      </c>
      <c r="C7" s="5" t="s">
        <v>8</v>
      </c>
      <c r="D7" s="5" t="s">
        <v>9</v>
      </c>
      <c r="E7" s="5" t="s">
        <v>10</v>
      </c>
      <c r="F7" s="5" t="s">
        <v>11</v>
      </c>
      <c r="G7" s="5">
        <v>2174306</v>
      </c>
      <c r="H7" s="4"/>
      <c r="I7" s="4"/>
      <c r="J7" s="4"/>
      <c r="K7" s="4"/>
      <c r="N7" s="4"/>
      <c r="O7" s="4"/>
      <c r="P7" s="4"/>
      <c r="Q7" s="4"/>
    </row>
    <row r="8" spans="1:17" x14ac:dyDescent="0.3">
      <c r="A8" s="3" t="s">
        <v>65</v>
      </c>
      <c r="B8" s="5" t="s">
        <v>7</v>
      </c>
      <c r="C8" s="5" t="s">
        <v>8</v>
      </c>
      <c r="D8" s="5" t="s">
        <v>9</v>
      </c>
      <c r="E8" s="5" t="s">
        <v>12</v>
      </c>
      <c r="F8" s="5" t="s">
        <v>11</v>
      </c>
      <c r="G8" s="5">
        <v>1027249</v>
      </c>
      <c r="H8" s="5"/>
      <c r="I8" s="6"/>
      <c r="J8" s="5"/>
      <c r="K8" s="5"/>
      <c r="N8" s="5"/>
      <c r="O8" s="6"/>
      <c r="P8" s="5"/>
      <c r="Q8" s="5"/>
    </row>
    <row r="9" spans="1:17" x14ac:dyDescent="0.3">
      <c r="A9" s="3" t="s">
        <v>65</v>
      </c>
      <c r="B9" s="5" t="s">
        <v>7</v>
      </c>
      <c r="C9" s="5" t="s">
        <v>8</v>
      </c>
      <c r="D9" s="5" t="s">
        <v>9</v>
      </c>
      <c r="E9" s="5" t="s">
        <v>13</v>
      </c>
      <c r="F9" s="5" t="s">
        <v>11</v>
      </c>
      <c r="G9" s="5">
        <v>1731042</v>
      </c>
      <c r="H9" s="5"/>
      <c r="I9" s="6"/>
      <c r="J9" s="5"/>
      <c r="K9" s="5"/>
      <c r="N9" s="5"/>
      <c r="O9" s="6"/>
      <c r="P9" s="5"/>
      <c r="Q9" s="5"/>
    </row>
    <row r="10" spans="1:17" x14ac:dyDescent="0.3">
      <c r="A10" s="3" t="s">
        <v>65</v>
      </c>
      <c r="B10" s="5" t="s">
        <v>7</v>
      </c>
      <c r="C10" s="5" t="s">
        <v>8</v>
      </c>
      <c r="D10" s="5" t="s">
        <v>9</v>
      </c>
      <c r="E10" s="5" t="s">
        <v>14</v>
      </c>
      <c r="F10" s="5" t="s">
        <v>11</v>
      </c>
      <c r="G10" s="5">
        <v>5501526</v>
      </c>
      <c r="H10" s="5"/>
      <c r="I10" s="6"/>
      <c r="J10" s="5"/>
      <c r="K10" s="5"/>
      <c r="N10" s="5"/>
      <c r="O10" s="6"/>
      <c r="P10" s="5"/>
      <c r="Q10" s="5"/>
    </row>
    <row r="11" spans="1:17" x14ac:dyDescent="0.3">
      <c r="A11" s="3" t="s">
        <v>65</v>
      </c>
      <c r="B11" s="5" t="s">
        <v>7</v>
      </c>
      <c r="C11" s="5" t="s">
        <v>8</v>
      </c>
      <c r="D11" s="5" t="s">
        <v>9</v>
      </c>
      <c r="E11" s="5" t="s">
        <v>15</v>
      </c>
      <c r="F11" s="5" t="s">
        <v>11</v>
      </c>
      <c r="G11" s="5">
        <v>4731107</v>
      </c>
      <c r="H11" s="5"/>
      <c r="I11" s="7"/>
      <c r="J11" s="5"/>
      <c r="K11" s="5"/>
      <c r="N11" s="5"/>
      <c r="O11" s="7"/>
      <c r="P11" s="5"/>
      <c r="Q11" s="5"/>
    </row>
    <row r="12" spans="1:17" x14ac:dyDescent="0.3">
      <c r="A12" s="3" t="s">
        <v>65</v>
      </c>
      <c r="B12" s="5" t="s">
        <v>7</v>
      </c>
      <c r="C12" s="5" t="s">
        <v>8</v>
      </c>
      <c r="D12" s="5" t="s">
        <v>16</v>
      </c>
      <c r="E12" s="5" t="s">
        <v>17</v>
      </c>
      <c r="F12" s="5" t="s">
        <v>18</v>
      </c>
      <c r="G12" s="5">
        <v>20.55</v>
      </c>
      <c r="H12" s="5"/>
      <c r="I12" s="6"/>
      <c r="J12" s="5"/>
      <c r="K12" s="5"/>
      <c r="N12" s="5"/>
      <c r="O12" s="6"/>
      <c r="P12" s="5"/>
      <c r="Q12" s="5"/>
    </row>
    <row r="13" spans="1:17" x14ac:dyDescent="0.3">
      <c r="A13" s="3" t="s">
        <v>65</v>
      </c>
      <c r="B13" s="5" t="s">
        <v>7</v>
      </c>
      <c r="C13" s="5" t="s">
        <v>8</v>
      </c>
      <c r="D13" s="5" t="s">
        <v>16</v>
      </c>
      <c r="E13" s="5" t="s">
        <v>19</v>
      </c>
      <c r="F13" s="5" t="s">
        <v>18</v>
      </c>
      <c r="G13" s="5">
        <v>11.43</v>
      </c>
    </row>
    <row r="14" spans="1:17" x14ac:dyDescent="0.3">
      <c r="A14" s="3" t="s">
        <v>65</v>
      </c>
      <c r="B14" s="5" t="s">
        <v>7</v>
      </c>
      <c r="C14" s="5" t="s">
        <v>8</v>
      </c>
      <c r="D14" s="5" t="s">
        <v>16</v>
      </c>
      <c r="E14" s="5" t="s">
        <v>20</v>
      </c>
      <c r="F14" s="5" t="s">
        <v>18</v>
      </c>
      <c r="G14" s="5">
        <v>56.99</v>
      </c>
    </row>
    <row r="15" spans="1:17" x14ac:dyDescent="0.3">
      <c r="A15" s="3" t="s">
        <v>65</v>
      </c>
      <c r="B15" s="5" t="s">
        <v>7</v>
      </c>
      <c r="C15" s="5" t="s">
        <v>8</v>
      </c>
      <c r="D15" s="5" t="s">
        <v>21</v>
      </c>
      <c r="E15" s="5" t="s">
        <v>22</v>
      </c>
      <c r="F15" s="5" t="s">
        <v>23</v>
      </c>
      <c r="G15" s="5">
        <v>129438</v>
      </c>
    </row>
    <row r="16" spans="1:17" x14ac:dyDescent="0.3">
      <c r="A16" s="3" t="s">
        <v>65</v>
      </c>
      <c r="B16" s="5" t="s">
        <v>7</v>
      </c>
      <c r="C16" s="5" t="s">
        <v>8</v>
      </c>
      <c r="D16" s="5" t="s">
        <v>21</v>
      </c>
      <c r="E16" s="5" t="s">
        <v>24</v>
      </c>
      <c r="F16" s="5" t="s">
        <v>23</v>
      </c>
      <c r="G16" s="5">
        <v>193063</v>
      </c>
    </row>
    <row r="17" spans="1:7" x14ac:dyDescent="0.3">
      <c r="A17" s="3" t="s">
        <v>65</v>
      </c>
      <c r="B17" s="5" t="s">
        <v>7</v>
      </c>
      <c r="C17" s="5" t="s">
        <v>8</v>
      </c>
      <c r="D17" s="5" t="s">
        <v>21</v>
      </c>
      <c r="E17" s="5" t="s">
        <v>25</v>
      </c>
      <c r="F17" s="5" t="s">
        <v>23</v>
      </c>
      <c r="G17" s="5">
        <v>322501</v>
      </c>
    </row>
    <row r="18" spans="1:7" x14ac:dyDescent="0.3">
      <c r="A18" s="3" t="s">
        <v>65</v>
      </c>
      <c r="B18" s="5" t="s">
        <v>7</v>
      </c>
      <c r="C18" s="5" t="s">
        <v>8</v>
      </c>
      <c r="D18" s="5" t="s">
        <v>26</v>
      </c>
      <c r="E18" s="5" t="s">
        <v>27</v>
      </c>
      <c r="F18" s="5" t="s">
        <v>28</v>
      </c>
      <c r="G18" s="5">
        <v>176.19</v>
      </c>
    </row>
    <row r="19" spans="1:7" x14ac:dyDescent="0.3">
      <c r="A19" s="3" t="s">
        <v>65</v>
      </c>
      <c r="B19" s="5" t="s">
        <v>7</v>
      </c>
      <c r="C19" s="5" t="s">
        <v>8</v>
      </c>
      <c r="D19" s="5" t="s">
        <v>26</v>
      </c>
      <c r="E19" s="5" t="s">
        <v>29</v>
      </c>
      <c r="F19" s="5" t="s">
        <v>28</v>
      </c>
      <c r="G19" s="5">
        <v>50.93</v>
      </c>
    </row>
    <row r="20" spans="1:7" x14ac:dyDescent="0.3">
      <c r="A20" s="3" t="s">
        <v>65</v>
      </c>
      <c r="B20" s="5" t="s">
        <v>7</v>
      </c>
      <c r="C20" s="5" t="s">
        <v>8</v>
      </c>
      <c r="D20" s="5" t="s">
        <v>26</v>
      </c>
      <c r="E20" s="5" t="s">
        <v>30</v>
      </c>
      <c r="F20" s="5" t="s">
        <v>28</v>
      </c>
      <c r="G20" s="5">
        <v>6.9</v>
      </c>
    </row>
    <row r="21" spans="1:7" x14ac:dyDescent="0.3">
      <c r="A21" s="3" t="s">
        <v>65</v>
      </c>
      <c r="B21" s="5" t="s">
        <v>7</v>
      </c>
      <c r="C21" s="5" t="s">
        <v>8</v>
      </c>
      <c r="D21" s="5" t="s">
        <v>26</v>
      </c>
      <c r="E21" s="5" t="s">
        <v>31</v>
      </c>
      <c r="F21" s="5" t="s">
        <v>28</v>
      </c>
      <c r="G21" s="5">
        <v>35.1</v>
      </c>
    </row>
    <row r="22" spans="1:7" x14ac:dyDescent="0.3">
      <c r="A22" s="3" t="s">
        <v>65</v>
      </c>
      <c r="B22" s="5" t="s">
        <v>7</v>
      </c>
      <c r="C22" s="5" t="s">
        <v>8</v>
      </c>
      <c r="D22" s="5" t="s">
        <v>26</v>
      </c>
      <c r="E22" s="5" t="s">
        <v>32</v>
      </c>
      <c r="F22" s="5" t="s">
        <v>28</v>
      </c>
      <c r="G22" s="5">
        <v>1052</v>
      </c>
    </row>
    <row r="23" spans="1:7" x14ac:dyDescent="0.3">
      <c r="A23" s="3" t="s">
        <v>65</v>
      </c>
      <c r="B23" s="5" t="s">
        <v>7</v>
      </c>
      <c r="C23" s="5" t="s">
        <v>8</v>
      </c>
      <c r="D23" s="5" t="s">
        <v>26</v>
      </c>
      <c r="E23" s="5" t="s">
        <v>33</v>
      </c>
      <c r="F23" s="5" t="s">
        <v>28</v>
      </c>
      <c r="G23" s="5">
        <v>11674</v>
      </c>
    </row>
    <row r="24" spans="1:7" x14ac:dyDescent="0.3">
      <c r="A24" s="3" t="s">
        <v>65</v>
      </c>
      <c r="B24" s="5" t="s">
        <v>7</v>
      </c>
      <c r="C24" s="5" t="s">
        <v>8</v>
      </c>
      <c r="D24" s="5" t="s">
        <v>26</v>
      </c>
      <c r="E24" s="5" t="s">
        <v>34</v>
      </c>
      <c r="F24" s="5" t="s">
        <v>28</v>
      </c>
      <c r="G24" s="5">
        <v>12995</v>
      </c>
    </row>
    <row r="25" spans="1:7" x14ac:dyDescent="0.3">
      <c r="A25" s="3" t="s">
        <v>65</v>
      </c>
      <c r="B25" s="5" t="s">
        <v>7</v>
      </c>
      <c r="C25" s="5" t="s">
        <v>8</v>
      </c>
      <c r="D25" s="5" t="s">
        <v>26</v>
      </c>
      <c r="E25" s="5" t="s">
        <v>35</v>
      </c>
      <c r="F25" s="5" t="s">
        <v>28</v>
      </c>
      <c r="G25" s="5">
        <v>7036</v>
      </c>
    </row>
    <row r="26" spans="1:7" x14ac:dyDescent="0.3">
      <c r="A26" s="3" t="s">
        <v>65</v>
      </c>
      <c r="B26" s="5" t="s">
        <v>7</v>
      </c>
      <c r="C26" s="5" t="s">
        <v>8</v>
      </c>
      <c r="D26" s="5" t="s">
        <v>26</v>
      </c>
      <c r="E26" s="5" t="s">
        <v>36</v>
      </c>
      <c r="F26" s="5" t="s">
        <v>28</v>
      </c>
      <c r="G26" s="5">
        <v>99</v>
      </c>
    </row>
    <row r="27" spans="1:7" x14ac:dyDescent="0.3">
      <c r="A27" s="3" t="s">
        <v>65</v>
      </c>
      <c r="B27" s="5" t="s">
        <v>7</v>
      </c>
      <c r="C27" s="5" t="s">
        <v>8</v>
      </c>
      <c r="D27" s="5" t="s">
        <v>26</v>
      </c>
      <c r="E27" s="5" t="s">
        <v>37</v>
      </c>
      <c r="F27" s="5" t="s">
        <v>28</v>
      </c>
      <c r="G27" s="5">
        <v>4043</v>
      </c>
    </row>
    <row r="28" spans="1:7" x14ac:dyDescent="0.3">
      <c r="A28" s="3" t="s">
        <v>65</v>
      </c>
      <c r="B28" s="5" t="s">
        <v>7</v>
      </c>
      <c r="C28" s="5" t="s">
        <v>8</v>
      </c>
      <c r="D28" s="5" t="s">
        <v>26</v>
      </c>
      <c r="E28" s="5" t="s">
        <v>38</v>
      </c>
      <c r="F28" s="5" t="s">
        <v>28</v>
      </c>
      <c r="G28" s="5">
        <v>11178</v>
      </c>
    </row>
    <row r="29" spans="1:7" x14ac:dyDescent="0.3">
      <c r="A29" s="3" t="s">
        <v>65</v>
      </c>
      <c r="B29" s="5" t="s">
        <v>7</v>
      </c>
      <c r="C29" s="5" t="s">
        <v>8</v>
      </c>
      <c r="D29" s="5" t="s">
        <v>26</v>
      </c>
      <c r="E29" s="5" t="s">
        <v>39</v>
      </c>
      <c r="F29" s="5" t="s">
        <v>28</v>
      </c>
      <c r="G29" s="5">
        <v>123</v>
      </c>
    </row>
    <row r="30" spans="1:7" x14ac:dyDescent="0.3">
      <c r="A30" s="3" t="s">
        <v>65</v>
      </c>
      <c r="B30" s="5" t="s">
        <v>7</v>
      </c>
      <c r="C30" s="5" t="s">
        <v>8</v>
      </c>
      <c r="D30" s="5" t="s">
        <v>26</v>
      </c>
      <c r="E30" s="5" t="s">
        <v>40</v>
      </c>
      <c r="F30" s="5" t="s">
        <v>28</v>
      </c>
      <c r="G30" s="5">
        <v>1694</v>
      </c>
    </row>
    <row r="31" spans="1:7" x14ac:dyDescent="0.3">
      <c r="A31" s="3" t="s">
        <v>65</v>
      </c>
      <c r="B31" s="5" t="s">
        <v>7</v>
      </c>
      <c r="C31" s="5" t="s">
        <v>8</v>
      </c>
      <c r="D31" s="5" t="s">
        <v>26</v>
      </c>
      <c r="E31" s="5" t="s">
        <v>41</v>
      </c>
      <c r="F31" s="5" t="s">
        <v>28</v>
      </c>
      <c r="G31" s="5">
        <v>0</v>
      </c>
    </row>
    <row r="32" spans="1:7" x14ac:dyDescent="0.3">
      <c r="A32" s="3" t="s">
        <v>65</v>
      </c>
      <c r="B32" s="5" t="s">
        <v>7</v>
      </c>
      <c r="C32" s="5" t="s">
        <v>8</v>
      </c>
      <c r="D32" s="5" t="s">
        <v>26</v>
      </c>
      <c r="E32" s="5" t="s">
        <v>42</v>
      </c>
      <c r="F32" s="5" t="s">
        <v>28</v>
      </c>
      <c r="G32" s="5">
        <v>1817</v>
      </c>
    </row>
    <row r="33" spans="1:7" x14ac:dyDescent="0.3">
      <c r="A33" s="3" t="s">
        <v>65</v>
      </c>
      <c r="B33" s="5" t="s">
        <v>7</v>
      </c>
      <c r="C33" s="5" t="s">
        <v>43</v>
      </c>
      <c r="D33" s="5" t="s">
        <v>6</v>
      </c>
      <c r="E33" s="5" t="s">
        <v>44</v>
      </c>
      <c r="F33" s="5" t="s">
        <v>45</v>
      </c>
      <c r="G33" s="5">
        <v>1387640</v>
      </c>
    </row>
    <row r="34" spans="1:7" x14ac:dyDescent="0.3">
      <c r="A34" s="3" t="s">
        <v>65</v>
      </c>
      <c r="B34" s="5" t="s">
        <v>7</v>
      </c>
      <c r="C34" s="5" t="s">
        <v>43</v>
      </c>
      <c r="D34" s="5" t="s">
        <v>6</v>
      </c>
      <c r="E34" s="5" t="s">
        <v>46</v>
      </c>
      <c r="F34" s="5" t="s">
        <v>45</v>
      </c>
      <c r="G34" s="5">
        <v>1625768</v>
      </c>
    </row>
    <row r="35" spans="1:7" x14ac:dyDescent="0.3">
      <c r="A35" s="3" t="s">
        <v>65</v>
      </c>
      <c r="B35" s="5" t="s">
        <v>7</v>
      </c>
      <c r="C35" s="5" t="s">
        <v>43</v>
      </c>
      <c r="D35" s="5" t="s">
        <v>6</v>
      </c>
      <c r="E35" s="5" t="s">
        <v>47</v>
      </c>
      <c r="F35" s="5" t="s">
        <v>45</v>
      </c>
      <c r="G35" s="5">
        <v>3013408</v>
      </c>
    </row>
    <row r="36" spans="1:7" x14ac:dyDescent="0.3">
      <c r="A36" s="3" t="s">
        <v>65</v>
      </c>
      <c r="B36" s="5" t="s">
        <v>7</v>
      </c>
      <c r="C36" s="5" t="s">
        <v>43</v>
      </c>
      <c r="D36" s="5" t="s">
        <v>9</v>
      </c>
      <c r="E36" s="5" t="s">
        <v>48</v>
      </c>
      <c r="F36" s="5" t="s">
        <v>11</v>
      </c>
      <c r="G36" s="5">
        <v>839237</v>
      </c>
    </row>
    <row r="37" spans="1:7" x14ac:dyDescent="0.3">
      <c r="A37" s="3" t="s">
        <v>65</v>
      </c>
      <c r="B37" s="5" t="s">
        <v>7</v>
      </c>
      <c r="C37" s="5" t="s">
        <v>43</v>
      </c>
      <c r="D37" s="5" t="s">
        <v>9</v>
      </c>
      <c r="E37" s="5" t="s">
        <v>49</v>
      </c>
      <c r="F37" s="5" t="s">
        <v>11</v>
      </c>
      <c r="G37" s="5">
        <v>366769</v>
      </c>
    </row>
    <row r="38" spans="1:7" x14ac:dyDescent="0.3">
      <c r="A38" s="3" t="s">
        <v>65</v>
      </c>
      <c r="B38" s="5" t="s">
        <v>7</v>
      </c>
      <c r="C38" s="5" t="s">
        <v>43</v>
      </c>
      <c r="D38" s="5" t="s">
        <v>9</v>
      </c>
      <c r="E38" s="5" t="s">
        <v>10</v>
      </c>
      <c r="F38" s="5" t="s">
        <v>11</v>
      </c>
      <c r="G38" s="5">
        <v>2832089</v>
      </c>
    </row>
    <row r="39" spans="1:7" x14ac:dyDescent="0.3">
      <c r="A39" s="3" t="s">
        <v>65</v>
      </c>
      <c r="B39" s="5" t="s">
        <v>7</v>
      </c>
      <c r="C39" s="5" t="s">
        <v>43</v>
      </c>
      <c r="D39" s="5" t="s">
        <v>9</v>
      </c>
      <c r="E39" s="5" t="s">
        <v>12</v>
      </c>
      <c r="F39" s="5" t="s">
        <v>11</v>
      </c>
      <c r="G39" s="5">
        <v>1241295</v>
      </c>
    </row>
    <row r="40" spans="1:7" x14ac:dyDescent="0.3">
      <c r="A40" s="3" t="s">
        <v>65</v>
      </c>
      <c r="B40" s="5" t="s">
        <v>7</v>
      </c>
      <c r="C40" s="5" t="s">
        <v>43</v>
      </c>
      <c r="D40" s="5" t="s">
        <v>9</v>
      </c>
      <c r="E40" s="5" t="s">
        <v>13</v>
      </c>
      <c r="F40" s="5" t="s">
        <v>11</v>
      </c>
      <c r="G40" s="5">
        <v>960739</v>
      </c>
    </row>
    <row r="41" spans="1:7" x14ac:dyDescent="0.3">
      <c r="A41" s="3" t="s">
        <v>65</v>
      </c>
      <c r="B41" s="5" t="s">
        <v>7</v>
      </c>
      <c r="C41" s="5" t="s">
        <v>43</v>
      </c>
      <c r="D41" s="5" t="s">
        <v>9</v>
      </c>
      <c r="E41" s="5" t="s">
        <v>14</v>
      </c>
      <c r="F41" s="5" t="s">
        <v>11</v>
      </c>
      <c r="G41" s="5">
        <v>6240130</v>
      </c>
    </row>
    <row r="42" spans="1:7" x14ac:dyDescent="0.3">
      <c r="A42" s="3" t="s">
        <v>65</v>
      </c>
      <c r="B42" s="5" t="s">
        <v>7</v>
      </c>
      <c r="C42" s="5" t="s">
        <v>43</v>
      </c>
      <c r="D42" s="5" t="s">
        <v>9</v>
      </c>
      <c r="E42" s="5" t="s">
        <v>15</v>
      </c>
      <c r="F42" s="5" t="s">
        <v>11</v>
      </c>
      <c r="G42" s="5">
        <v>5590749</v>
      </c>
    </row>
    <row r="43" spans="1:7" x14ac:dyDescent="0.3">
      <c r="A43" s="3" t="s">
        <v>65</v>
      </c>
      <c r="B43" s="5" t="s">
        <v>7</v>
      </c>
      <c r="C43" s="5" t="s">
        <v>43</v>
      </c>
      <c r="D43" s="5" t="s">
        <v>16</v>
      </c>
      <c r="E43" s="5" t="s">
        <v>17</v>
      </c>
      <c r="F43" s="5" t="s">
        <v>18</v>
      </c>
      <c r="G43" s="5">
        <v>14.09</v>
      </c>
    </row>
    <row r="44" spans="1:7" x14ac:dyDescent="0.3">
      <c r="A44" s="3" t="s">
        <v>65</v>
      </c>
      <c r="B44" s="5" t="s">
        <v>7</v>
      </c>
      <c r="C44" s="5" t="s">
        <v>43</v>
      </c>
      <c r="D44" s="5" t="s">
        <v>16</v>
      </c>
      <c r="E44" s="5" t="s">
        <v>19</v>
      </c>
      <c r="F44" s="5" t="s">
        <v>18</v>
      </c>
      <c r="G44" s="5">
        <v>12.46</v>
      </c>
    </row>
    <row r="45" spans="1:7" x14ac:dyDescent="0.3">
      <c r="A45" s="3" t="s">
        <v>65</v>
      </c>
      <c r="B45" s="5" t="s">
        <v>7</v>
      </c>
      <c r="C45" s="5" t="s">
        <v>43</v>
      </c>
      <c r="D45" s="5" t="s">
        <v>16</v>
      </c>
      <c r="E45" s="5" t="s">
        <v>20</v>
      </c>
      <c r="F45" s="5" t="s">
        <v>18</v>
      </c>
      <c r="G45" s="5">
        <v>41.36</v>
      </c>
    </row>
    <row r="46" spans="1:7" x14ac:dyDescent="0.3">
      <c r="A46" s="3" t="s">
        <v>65</v>
      </c>
      <c r="B46" s="5" t="s">
        <v>7</v>
      </c>
      <c r="C46" s="5" t="s">
        <v>43</v>
      </c>
      <c r="D46" s="5" t="s">
        <v>21</v>
      </c>
      <c r="E46" s="5" t="s">
        <v>22</v>
      </c>
      <c r="F46" s="5" t="s">
        <v>23</v>
      </c>
      <c r="G46" s="5">
        <v>121102</v>
      </c>
    </row>
    <row r="47" spans="1:7" x14ac:dyDescent="0.3">
      <c r="A47" s="3" t="s">
        <v>65</v>
      </c>
      <c r="B47" s="5" t="s">
        <v>7</v>
      </c>
      <c r="C47" s="5" t="s">
        <v>43</v>
      </c>
      <c r="D47" s="5" t="s">
        <v>21</v>
      </c>
      <c r="E47" s="5" t="s">
        <v>24</v>
      </c>
      <c r="F47" s="5" t="s">
        <v>23</v>
      </c>
      <c r="G47" s="5">
        <v>261951</v>
      </c>
    </row>
    <row r="48" spans="1:7" x14ac:dyDescent="0.3">
      <c r="A48" s="3" t="s">
        <v>65</v>
      </c>
      <c r="B48" s="5" t="s">
        <v>7</v>
      </c>
      <c r="C48" s="5" t="s">
        <v>43</v>
      </c>
      <c r="D48" s="5" t="s">
        <v>21</v>
      </c>
      <c r="E48" s="5" t="s">
        <v>25</v>
      </c>
      <c r="F48" s="5" t="s">
        <v>23</v>
      </c>
      <c r="G48" s="5">
        <v>383053</v>
      </c>
    </row>
    <row r="49" spans="1:7" x14ac:dyDescent="0.3">
      <c r="A49" s="3" t="s">
        <v>65</v>
      </c>
      <c r="B49" s="5" t="s">
        <v>7</v>
      </c>
      <c r="C49" s="5" t="s">
        <v>43</v>
      </c>
      <c r="D49" s="5" t="s">
        <v>26</v>
      </c>
      <c r="E49" s="5" t="s">
        <v>27</v>
      </c>
      <c r="F49" s="5" t="s">
        <v>28</v>
      </c>
      <c r="G49" s="5">
        <v>894</v>
      </c>
    </row>
    <row r="50" spans="1:7" x14ac:dyDescent="0.3">
      <c r="A50" s="3" t="s">
        <v>65</v>
      </c>
      <c r="B50" s="5" t="s">
        <v>7</v>
      </c>
      <c r="C50" s="5" t="s">
        <v>43</v>
      </c>
      <c r="D50" s="5" t="s">
        <v>26</v>
      </c>
      <c r="E50" s="5" t="s">
        <v>29</v>
      </c>
      <c r="F50" s="5" t="s">
        <v>28</v>
      </c>
      <c r="G50" s="5">
        <v>111.31</v>
      </c>
    </row>
    <row r="51" spans="1:7" x14ac:dyDescent="0.3">
      <c r="A51" s="3" t="s">
        <v>65</v>
      </c>
      <c r="B51" s="5" t="s">
        <v>7</v>
      </c>
      <c r="C51" s="5" t="s">
        <v>43</v>
      </c>
      <c r="D51" s="5" t="s">
        <v>26</v>
      </c>
      <c r="E51" s="5" t="s">
        <v>30</v>
      </c>
      <c r="F51" s="5" t="s">
        <v>28</v>
      </c>
      <c r="G51" s="5">
        <v>9.8699999999999992</v>
      </c>
    </row>
    <row r="52" spans="1:7" x14ac:dyDescent="0.3">
      <c r="A52" s="3" t="s">
        <v>65</v>
      </c>
      <c r="B52" s="5" t="s">
        <v>7</v>
      </c>
      <c r="C52" s="5" t="s">
        <v>43</v>
      </c>
      <c r="D52" s="5" t="s">
        <v>26</v>
      </c>
      <c r="E52" s="5" t="s">
        <v>31</v>
      </c>
      <c r="F52" s="5" t="s">
        <v>28</v>
      </c>
      <c r="G52" s="5">
        <v>13.46</v>
      </c>
    </row>
    <row r="53" spans="1:7" x14ac:dyDescent="0.3">
      <c r="A53" s="3" t="s">
        <v>65</v>
      </c>
      <c r="B53" s="5" t="s">
        <v>7</v>
      </c>
      <c r="C53" s="5" t="s">
        <v>43</v>
      </c>
      <c r="D53" s="5" t="s">
        <v>26</v>
      </c>
      <c r="E53" s="5" t="s">
        <v>32</v>
      </c>
      <c r="F53" s="5" t="s">
        <v>28</v>
      </c>
      <c r="G53" s="5">
        <v>1324</v>
      </c>
    </row>
    <row r="54" spans="1:7" x14ac:dyDescent="0.3">
      <c r="A54" s="3" t="s">
        <v>65</v>
      </c>
      <c r="B54" s="5" t="s">
        <v>7</v>
      </c>
      <c r="C54" s="5" t="s">
        <v>43</v>
      </c>
      <c r="D54" s="5" t="s">
        <v>26</v>
      </c>
      <c r="E54" s="5" t="s">
        <v>33</v>
      </c>
      <c r="F54" s="5" t="s">
        <v>28</v>
      </c>
      <c r="G54" s="5">
        <v>13792</v>
      </c>
    </row>
    <row r="55" spans="1:7" x14ac:dyDescent="0.3">
      <c r="A55" s="3" t="s">
        <v>65</v>
      </c>
      <c r="B55" s="5" t="s">
        <v>7</v>
      </c>
      <c r="C55" s="5" t="s">
        <v>43</v>
      </c>
      <c r="D55" s="5" t="s">
        <v>26</v>
      </c>
      <c r="E55" s="5" t="s">
        <v>34</v>
      </c>
      <c r="F55" s="5" t="s">
        <v>28</v>
      </c>
      <c r="G55" s="5">
        <v>15316</v>
      </c>
    </row>
    <row r="56" spans="1:7" x14ac:dyDescent="0.3">
      <c r="A56" s="3" t="s">
        <v>65</v>
      </c>
      <c r="B56" s="5" t="s">
        <v>7</v>
      </c>
      <c r="C56" s="5" t="s">
        <v>43</v>
      </c>
      <c r="D56" s="5" t="s">
        <v>26</v>
      </c>
      <c r="E56" s="5" t="s">
        <v>35</v>
      </c>
      <c r="F56" s="5" t="s">
        <v>28</v>
      </c>
      <c r="G56" s="5">
        <v>8038</v>
      </c>
    </row>
    <row r="57" spans="1:7" x14ac:dyDescent="0.3">
      <c r="A57" s="3" t="s">
        <v>65</v>
      </c>
      <c r="B57" s="5" t="s">
        <v>7</v>
      </c>
      <c r="C57" s="5" t="s">
        <v>43</v>
      </c>
      <c r="D57" s="5" t="s">
        <v>26</v>
      </c>
      <c r="E57" s="5" t="s">
        <v>36</v>
      </c>
      <c r="F57" s="5" t="s">
        <v>28</v>
      </c>
      <c r="G57" s="5">
        <v>3076</v>
      </c>
    </row>
    <row r="58" spans="1:7" x14ac:dyDescent="0.3">
      <c r="A58" s="3" t="s">
        <v>65</v>
      </c>
      <c r="B58" s="5" t="s">
        <v>7</v>
      </c>
      <c r="C58" s="5" t="s">
        <v>43</v>
      </c>
      <c r="D58" s="5" t="s">
        <v>26</v>
      </c>
      <c r="E58" s="5" t="s">
        <v>37</v>
      </c>
      <c r="F58" s="5" t="s">
        <v>28</v>
      </c>
      <c r="G58" s="5">
        <v>1132</v>
      </c>
    </row>
    <row r="59" spans="1:7" x14ac:dyDescent="0.3">
      <c r="A59" s="3" t="s">
        <v>65</v>
      </c>
      <c r="B59" s="5" t="s">
        <v>7</v>
      </c>
      <c r="C59" s="5" t="s">
        <v>43</v>
      </c>
      <c r="D59" s="5" t="s">
        <v>26</v>
      </c>
      <c r="E59" s="5" t="s">
        <v>38</v>
      </c>
      <c r="F59" s="5" t="s">
        <v>28</v>
      </c>
      <c r="G59" s="5">
        <v>12245</v>
      </c>
    </row>
    <row r="60" spans="1:7" x14ac:dyDescent="0.3">
      <c r="A60" s="3" t="s">
        <v>65</v>
      </c>
      <c r="B60" s="5" t="s">
        <v>7</v>
      </c>
      <c r="C60" s="5" t="s">
        <v>43</v>
      </c>
      <c r="D60" s="5" t="s">
        <v>26</v>
      </c>
      <c r="E60" s="5" t="s">
        <v>39</v>
      </c>
      <c r="F60" s="5" t="s">
        <v>28</v>
      </c>
      <c r="G60" s="5">
        <v>140</v>
      </c>
    </row>
    <row r="61" spans="1:7" x14ac:dyDescent="0.3">
      <c r="A61" s="3" t="s">
        <v>65</v>
      </c>
      <c r="B61" s="5" t="s">
        <v>7</v>
      </c>
      <c r="C61" s="5" t="s">
        <v>43</v>
      </c>
      <c r="D61" s="5" t="s">
        <v>26</v>
      </c>
      <c r="E61" s="5" t="s">
        <v>40</v>
      </c>
      <c r="F61" s="5" t="s">
        <v>28</v>
      </c>
      <c r="G61" s="5">
        <v>944</v>
      </c>
    </row>
    <row r="62" spans="1:7" x14ac:dyDescent="0.3">
      <c r="A62" s="3" t="s">
        <v>65</v>
      </c>
      <c r="B62" s="5" t="s">
        <v>7</v>
      </c>
      <c r="C62" s="5" t="s">
        <v>43</v>
      </c>
      <c r="D62" s="5" t="s">
        <v>26</v>
      </c>
      <c r="E62" s="5" t="s">
        <v>41</v>
      </c>
      <c r="F62" s="5" t="s">
        <v>28</v>
      </c>
      <c r="G62" s="5">
        <v>0</v>
      </c>
    </row>
    <row r="63" spans="1:7" x14ac:dyDescent="0.3">
      <c r="A63" s="3" t="s">
        <v>65</v>
      </c>
      <c r="B63" s="5" t="s">
        <v>7</v>
      </c>
      <c r="C63" s="5" t="s">
        <v>43</v>
      </c>
      <c r="D63" s="5" t="s">
        <v>26</v>
      </c>
      <c r="E63" s="5" t="s">
        <v>42</v>
      </c>
      <c r="F63" s="5" t="s">
        <v>28</v>
      </c>
      <c r="G63" s="5">
        <v>1084</v>
      </c>
    </row>
    <row r="64" spans="1:7" x14ac:dyDescent="0.3">
      <c r="A64" s="3" t="s">
        <v>65</v>
      </c>
      <c r="B64" s="5" t="s">
        <v>7</v>
      </c>
      <c r="C64" s="5" t="s">
        <v>50</v>
      </c>
      <c r="D64" s="5" t="s">
        <v>6</v>
      </c>
      <c r="E64" s="5" t="s">
        <v>44</v>
      </c>
      <c r="F64" s="5" t="s">
        <v>45</v>
      </c>
      <c r="G64" s="5">
        <v>1793000</v>
      </c>
    </row>
    <row r="65" spans="1:7" x14ac:dyDescent="0.3">
      <c r="A65" s="3" t="s">
        <v>65</v>
      </c>
      <c r="B65" s="5" t="s">
        <v>7</v>
      </c>
      <c r="C65" s="5" t="s">
        <v>50</v>
      </c>
      <c r="D65" s="5" t="s">
        <v>6</v>
      </c>
      <c r="E65" s="5" t="s">
        <v>46</v>
      </c>
      <c r="F65" s="5" t="s">
        <v>45</v>
      </c>
      <c r="G65" s="5">
        <v>1660000</v>
      </c>
    </row>
    <row r="66" spans="1:7" x14ac:dyDescent="0.3">
      <c r="A66" s="3" t="s">
        <v>65</v>
      </c>
      <c r="B66" s="5" t="s">
        <v>7</v>
      </c>
      <c r="C66" s="5" t="s">
        <v>50</v>
      </c>
      <c r="D66" s="5" t="s">
        <v>6</v>
      </c>
      <c r="E66" s="5" t="s">
        <v>47</v>
      </c>
      <c r="F66" s="5" t="s">
        <v>45</v>
      </c>
      <c r="G66" s="5">
        <v>3453000</v>
      </c>
    </row>
    <row r="67" spans="1:7" x14ac:dyDescent="0.3">
      <c r="A67" s="3" t="s">
        <v>65</v>
      </c>
      <c r="B67" s="5" t="s">
        <v>7</v>
      </c>
      <c r="C67" s="5" t="s">
        <v>50</v>
      </c>
      <c r="D67" s="5" t="s">
        <v>9</v>
      </c>
      <c r="E67" s="5" t="s">
        <v>48</v>
      </c>
      <c r="F67" s="5" t="s">
        <v>11</v>
      </c>
      <c r="G67" s="5">
        <v>1350678</v>
      </c>
    </row>
    <row r="68" spans="1:7" x14ac:dyDescent="0.3">
      <c r="A68" s="3" t="s">
        <v>65</v>
      </c>
      <c r="B68" s="5" t="s">
        <v>7</v>
      </c>
      <c r="C68" s="5" t="s">
        <v>50</v>
      </c>
      <c r="D68" s="5" t="s">
        <v>9</v>
      </c>
      <c r="E68" s="5" t="s">
        <v>49</v>
      </c>
      <c r="F68" s="5" t="s">
        <v>11</v>
      </c>
      <c r="G68" s="5">
        <v>410463</v>
      </c>
    </row>
    <row r="69" spans="1:7" x14ac:dyDescent="0.3">
      <c r="A69" s="3" t="s">
        <v>65</v>
      </c>
      <c r="B69" s="5" t="s">
        <v>7</v>
      </c>
      <c r="C69" s="5" t="s">
        <v>50</v>
      </c>
      <c r="D69" s="5" t="s">
        <v>9</v>
      </c>
      <c r="E69" s="5" t="s">
        <v>10</v>
      </c>
      <c r="F69" s="5" t="s">
        <v>11</v>
      </c>
      <c r="G69" s="5">
        <v>2938298</v>
      </c>
    </row>
    <row r="70" spans="1:7" x14ac:dyDescent="0.3">
      <c r="A70" s="3" t="s">
        <v>65</v>
      </c>
      <c r="B70" s="5" t="s">
        <v>7</v>
      </c>
      <c r="C70" s="5" t="s">
        <v>50</v>
      </c>
      <c r="D70" s="5" t="s">
        <v>9</v>
      </c>
      <c r="E70" s="5" t="s">
        <v>12</v>
      </c>
      <c r="F70" s="5" t="s">
        <v>11</v>
      </c>
      <c r="G70" s="5">
        <v>1778522</v>
      </c>
    </row>
    <row r="71" spans="1:7" x14ac:dyDescent="0.3">
      <c r="A71" s="3" t="s">
        <v>65</v>
      </c>
      <c r="B71" s="5" t="s">
        <v>7</v>
      </c>
      <c r="C71" s="5" t="s">
        <v>50</v>
      </c>
      <c r="D71" s="5" t="s">
        <v>9</v>
      </c>
      <c r="E71" s="5" t="s">
        <v>13</v>
      </c>
      <c r="F71" s="5" t="s">
        <v>11</v>
      </c>
      <c r="G71" s="5">
        <v>1220162</v>
      </c>
    </row>
    <row r="72" spans="1:7" x14ac:dyDescent="0.3">
      <c r="A72" s="3" t="s">
        <v>65</v>
      </c>
      <c r="B72" s="5" t="s">
        <v>7</v>
      </c>
      <c r="C72" s="5" t="s">
        <v>50</v>
      </c>
      <c r="D72" s="5" t="s">
        <v>9</v>
      </c>
      <c r="E72" s="5" t="s">
        <v>14</v>
      </c>
      <c r="F72" s="5" t="s">
        <v>11</v>
      </c>
      <c r="G72" s="5">
        <v>7698123</v>
      </c>
    </row>
    <row r="73" spans="1:7" x14ac:dyDescent="0.3">
      <c r="A73" s="3" t="s">
        <v>65</v>
      </c>
      <c r="B73" s="5" t="s">
        <v>7</v>
      </c>
      <c r="C73" s="5" t="s">
        <v>50</v>
      </c>
      <c r="D73" s="5" t="s">
        <v>9</v>
      </c>
      <c r="E73" s="5" t="s">
        <v>15</v>
      </c>
      <c r="F73" s="5" t="s">
        <v>11</v>
      </c>
      <c r="G73" s="5">
        <v>7036727</v>
      </c>
    </row>
    <row r="74" spans="1:7" x14ac:dyDescent="0.3">
      <c r="A74" s="3" t="s">
        <v>65</v>
      </c>
      <c r="B74" s="5" t="s">
        <v>7</v>
      </c>
      <c r="C74" s="5" t="s">
        <v>50</v>
      </c>
      <c r="D74" s="5" t="s">
        <v>16</v>
      </c>
      <c r="E74" s="5" t="s">
        <v>17</v>
      </c>
      <c r="F74" s="5" t="s">
        <v>18</v>
      </c>
      <c r="G74" s="5">
        <v>44.25</v>
      </c>
    </row>
    <row r="75" spans="1:7" x14ac:dyDescent="0.3">
      <c r="A75" s="3" t="s">
        <v>65</v>
      </c>
      <c r="B75" s="5" t="s">
        <v>7</v>
      </c>
      <c r="C75" s="5" t="s">
        <v>50</v>
      </c>
      <c r="D75" s="5" t="s">
        <v>16</v>
      </c>
      <c r="E75" s="5" t="s">
        <v>19</v>
      </c>
      <c r="F75" s="5" t="s">
        <v>18</v>
      </c>
      <c r="G75" s="5">
        <v>38.909999999999997</v>
      </c>
    </row>
    <row r="76" spans="1:7" x14ac:dyDescent="0.3">
      <c r="A76" s="3" t="s">
        <v>65</v>
      </c>
      <c r="B76" s="5" t="s">
        <v>7</v>
      </c>
      <c r="C76" s="5" t="s">
        <v>50</v>
      </c>
      <c r="D76" s="5" t="s">
        <v>16</v>
      </c>
      <c r="E76" s="5" t="s">
        <v>20</v>
      </c>
      <c r="F76" s="5" t="s">
        <v>18</v>
      </c>
      <c r="G76" s="5">
        <v>54</v>
      </c>
    </row>
    <row r="77" spans="1:7" x14ac:dyDescent="0.3">
      <c r="A77" s="3" t="s">
        <v>65</v>
      </c>
      <c r="B77" s="5" t="s">
        <v>7</v>
      </c>
      <c r="C77" s="5" t="s">
        <v>50</v>
      </c>
      <c r="D77" s="5" t="s">
        <v>21</v>
      </c>
      <c r="E77" s="5" t="s">
        <v>22</v>
      </c>
      <c r="F77" s="5" t="s">
        <v>23</v>
      </c>
      <c r="G77" s="5">
        <v>126197</v>
      </c>
    </row>
    <row r="78" spans="1:7" x14ac:dyDescent="0.3">
      <c r="A78" s="3" t="s">
        <v>65</v>
      </c>
      <c r="B78" s="5" t="s">
        <v>7</v>
      </c>
      <c r="C78" s="5" t="s">
        <v>50</v>
      </c>
      <c r="D78" s="5" t="s">
        <v>21</v>
      </c>
      <c r="E78" s="5" t="s">
        <v>24</v>
      </c>
      <c r="F78" s="5" t="s">
        <v>23</v>
      </c>
      <c r="G78" s="5">
        <v>343428</v>
      </c>
    </row>
    <row r="79" spans="1:7" x14ac:dyDescent="0.3">
      <c r="A79" s="3" t="s">
        <v>65</v>
      </c>
      <c r="B79" s="5" t="s">
        <v>7</v>
      </c>
      <c r="C79" s="5" t="s">
        <v>50</v>
      </c>
      <c r="D79" s="5" t="s">
        <v>21</v>
      </c>
      <c r="E79" s="5" t="s">
        <v>25</v>
      </c>
      <c r="F79" s="5" t="s">
        <v>23</v>
      </c>
      <c r="G79" s="5">
        <v>469625</v>
      </c>
    </row>
    <row r="80" spans="1:7" x14ac:dyDescent="0.3">
      <c r="A80" s="3" t="s">
        <v>65</v>
      </c>
      <c r="B80" s="5" t="s">
        <v>7</v>
      </c>
      <c r="C80" s="5" t="s">
        <v>50</v>
      </c>
      <c r="D80" s="5" t="s">
        <v>26</v>
      </c>
      <c r="E80" s="5" t="s">
        <v>27</v>
      </c>
      <c r="F80" s="5" t="s">
        <v>28</v>
      </c>
      <c r="G80" s="5">
        <v>591</v>
      </c>
    </row>
    <row r="81" spans="1:7" x14ac:dyDescent="0.3">
      <c r="A81" s="3" t="s">
        <v>65</v>
      </c>
      <c r="B81" s="5" t="s">
        <v>7</v>
      </c>
      <c r="C81" s="5" t="s">
        <v>50</v>
      </c>
      <c r="D81" s="5" t="s">
        <v>26</v>
      </c>
      <c r="E81" s="5" t="s">
        <v>29</v>
      </c>
      <c r="F81" s="5" t="s">
        <v>28</v>
      </c>
      <c r="G81" s="5">
        <v>82</v>
      </c>
    </row>
    <row r="82" spans="1:7" x14ac:dyDescent="0.3">
      <c r="A82" s="3" t="s">
        <v>65</v>
      </c>
      <c r="B82" s="5" t="s">
        <v>7</v>
      </c>
      <c r="C82" s="5" t="s">
        <v>50</v>
      </c>
      <c r="D82" s="5" t="s">
        <v>26</v>
      </c>
      <c r="E82" s="5" t="s">
        <v>30</v>
      </c>
      <c r="F82" s="5" t="s">
        <v>28</v>
      </c>
      <c r="G82" s="5">
        <v>125</v>
      </c>
    </row>
    <row r="83" spans="1:7" x14ac:dyDescent="0.3">
      <c r="A83" s="3" t="s">
        <v>65</v>
      </c>
      <c r="B83" s="5" t="s">
        <v>7</v>
      </c>
      <c r="C83" s="5" t="s">
        <v>50</v>
      </c>
      <c r="D83" s="5" t="s">
        <v>26</v>
      </c>
      <c r="E83" s="5" t="s">
        <v>31</v>
      </c>
      <c r="F83" s="5" t="s">
        <v>28</v>
      </c>
      <c r="G83" s="5">
        <v>56</v>
      </c>
    </row>
    <row r="84" spans="1:7" x14ac:dyDescent="0.3">
      <c r="A84" s="3" t="s">
        <v>65</v>
      </c>
      <c r="B84" s="5" t="s">
        <v>7</v>
      </c>
      <c r="C84" s="5" t="s">
        <v>50</v>
      </c>
      <c r="D84" s="5" t="s">
        <v>26</v>
      </c>
      <c r="E84" s="5" t="s">
        <v>32</v>
      </c>
      <c r="F84" s="5" t="s">
        <v>28</v>
      </c>
      <c r="G84" s="5">
        <v>2307</v>
      </c>
    </row>
    <row r="85" spans="1:7" x14ac:dyDescent="0.3">
      <c r="A85" s="3" t="s">
        <v>65</v>
      </c>
      <c r="B85" s="5" t="s">
        <v>7</v>
      </c>
      <c r="C85" s="5" t="s">
        <v>50</v>
      </c>
      <c r="D85" s="5" t="s">
        <v>26</v>
      </c>
      <c r="E85" s="5" t="s">
        <v>33</v>
      </c>
      <c r="F85" s="5" t="s">
        <v>28</v>
      </c>
      <c r="G85" s="5">
        <v>10073</v>
      </c>
    </row>
    <row r="86" spans="1:7" x14ac:dyDescent="0.3">
      <c r="A86" s="3" t="s">
        <v>65</v>
      </c>
      <c r="B86" s="5" t="s">
        <v>7</v>
      </c>
      <c r="C86" s="5" t="s">
        <v>50</v>
      </c>
      <c r="D86" s="5" t="s">
        <v>26</v>
      </c>
      <c r="E86" s="5" t="s">
        <v>34</v>
      </c>
      <c r="F86" s="5" t="s">
        <v>28</v>
      </c>
      <c r="G86" s="5">
        <v>13234</v>
      </c>
    </row>
    <row r="87" spans="1:7" x14ac:dyDescent="0.3">
      <c r="A87" s="3" t="s">
        <v>65</v>
      </c>
      <c r="B87" s="5" t="s">
        <v>7</v>
      </c>
      <c r="C87" s="5" t="s">
        <v>50</v>
      </c>
      <c r="D87" s="5" t="s">
        <v>26</v>
      </c>
      <c r="E87" s="5" t="s">
        <v>35</v>
      </c>
      <c r="F87" s="5" t="s">
        <v>28</v>
      </c>
      <c r="G87" s="5">
        <v>7058</v>
      </c>
    </row>
    <row r="88" spans="1:7" x14ac:dyDescent="0.3">
      <c r="A88" s="3" t="s">
        <v>65</v>
      </c>
      <c r="B88" s="5" t="s">
        <v>7</v>
      </c>
      <c r="C88" s="5" t="s">
        <v>50</v>
      </c>
      <c r="D88" s="5" t="s">
        <v>26</v>
      </c>
      <c r="E88" s="5" t="s">
        <v>36</v>
      </c>
      <c r="F88" s="5" t="s">
        <v>28</v>
      </c>
      <c r="G88" s="5">
        <v>783</v>
      </c>
    </row>
    <row r="89" spans="1:7" x14ac:dyDescent="0.3">
      <c r="A89" s="3" t="s">
        <v>65</v>
      </c>
      <c r="B89" s="5" t="s">
        <v>7</v>
      </c>
      <c r="C89" s="5" t="s">
        <v>50</v>
      </c>
      <c r="D89" s="5" t="s">
        <v>26</v>
      </c>
      <c r="E89" s="5" t="s">
        <v>37</v>
      </c>
      <c r="F89" s="5" t="s">
        <v>28</v>
      </c>
      <c r="G89" s="5">
        <v>2259</v>
      </c>
    </row>
    <row r="90" spans="1:7" x14ac:dyDescent="0.3">
      <c r="A90" s="3" t="s">
        <v>65</v>
      </c>
      <c r="B90" s="5" t="s">
        <v>7</v>
      </c>
      <c r="C90" s="5" t="s">
        <v>50</v>
      </c>
      <c r="D90" s="5" t="s">
        <v>26</v>
      </c>
      <c r="E90" s="5" t="s">
        <v>38</v>
      </c>
      <c r="F90" s="5" t="s">
        <v>28</v>
      </c>
      <c r="G90" s="5">
        <v>10101</v>
      </c>
    </row>
    <row r="91" spans="1:7" x14ac:dyDescent="0.3">
      <c r="A91" s="3" t="s">
        <v>65</v>
      </c>
      <c r="B91" s="5" t="s">
        <v>7</v>
      </c>
      <c r="C91" s="5" t="s">
        <v>50</v>
      </c>
      <c r="D91" s="5" t="s">
        <v>26</v>
      </c>
      <c r="E91" s="5" t="s">
        <v>39</v>
      </c>
      <c r="F91" s="5" t="s">
        <v>28</v>
      </c>
      <c r="G91" s="5">
        <v>280</v>
      </c>
    </row>
    <row r="92" spans="1:7" x14ac:dyDescent="0.3">
      <c r="A92" s="3" t="s">
        <v>65</v>
      </c>
      <c r="B92" s="5" t="s">
        <v>7</v>
      </c>
      <c r="C92" s="5" t="s">
        <v>50</v>
      </c>
      <c r="D92" s="5" t="s">
        <v>26</v>
      </c>
      <c r="E92" s="5" t="s">
        <v>40</v>
      </c>
      <c r="F92" s="5" t="s">
        <v>28</v>
      </c>
      <c r="G92" s="5">
        <v>893</v>
      </c>
    </row>
    <row r="93" spans="1:7" x14ac:dyDescent="0.3">
      <c r="A93" s="3" t="s">
        <v>65</v>
      </c>
      <c r="B93" s="5" t="s">
        <v>7</v>
      </c>
      <c r="C93" s="5" t="s">
        <v>50</v>
      </c>
      <c r="D93" s="5" t="s">
        <v>26</v>
      </c>
      <c r="E93" s="5" t="s">
        <v>41</v>
      </c>
      <c r="F93" s="5" t="s">
        <v>28</v>
      </c>
      <c r="G93" s="5">
        <v>1961</v>
      </c>
    </row>
    <row r="94" spans="1:7" x14ac:dyDescent="0.3">
      <c r="A94" s="3" t="s">
        <v>65</v>
      </c>
      <c r="B94" s="5" t="s">
        <v>7</v>
      </c>
      <c r="C94" s="5" t="s">
        <v>50</v>
      </c>
      <c r="D94" s="5" t="s">
        <v>26</v>
      </c>
      <c r="E94" s="5" t="s">
        <v>42</v>
      </c>
      <c r="F94" s="5" t="s">
        <v>28</v>
      </c>
      <c r="G94" s="5">
        <v>3133</v>
      </c>
    </row>
    <row r="95" spans="1:7" x14ac:dyDescent="0.3">
      <c r="A95" s="3" t="s">
        <v>67</v>
      </c>
      <c r="B95" s="5" t="s">
        <v>51</v>
      </c>
      <c r="C95" s="5" t="s">
        <v>8</v>
      </c>
      <c r="D95" s="5" t="s">
        <v>6</v>
      </c>
      <c r="E95" s="5" t="s">
        <v>44</v>
      </c>
      <c r="F95" s="5" t="s">
        <v>45</v>
      </c>
      <c r="G95" s="5">
        <v>6390000</v>
      </c>
    </row>
    <row r="96" spans="1:7" x14ac:dyDescent="0.3">
      <c r="A96" s="3" t="s">
        <v>67</v>
      </c>
      <c r="B96" s="5" t="s">
        <v>51</v>
      </c>
      <c r="C96" s="5" t="s">
        <v>8</v>
      </c>
      <c r="D96" s="5" t="s">
        <v>6</v>
      </c>
      <c r="E96" s="5" t="s">
        <v>46</v>
      </c>
      <c r="F96" s="5" t="s">
        <v>45</v>
      </c>
      <c r="G96" s="5">
        <v>53540000</v>
      </c>
    </row>
    <row r="97" spans="1:7" x14ac:dyDescent="0.3">
      <c r="A97" s="3" t="s">
        <v>67</v>
      </c>
      <c r="B97" s="5" t="s">
        <v>51</v>
      </c>
      <c r="C97" s="5" t="s">
        <v>8</v>
      </c>
      <c r="D97" s="5" t="s">
        <v>6</v>
      </c>
      <c r="E97" s="5" t="s">
        <v>47</v>
      </c>
      <c r="F97" s="5" t="s">
        <v>45</v>
      </c>
      <c r="G97" s="5">
        <v>59930000</v>
      </c>
    </row>
    <row r="98" spans="1:7" x14ac:dyDescent="0.3">
      <c r="A98" s="3" t="s">
        <v>67</v>
      </c>
      <c r="B98" s="5" t="s">
        <v>51</v>
      </c>
      <c r="C98" s="5" t="s">
        <v>8</v>
      </c>
      <c r="D98" s="5" t="s">
        <v>9</v>
      </c>
      <c r="E98" s="5" t="s">
        <v>48</v>
      </c>
      <c r="F98" s="5" t="s">
        <v>11</v>
      </c>
      <c r="G98" s="5">
        <v>362800000</v>
      </c>
    </row>
    <row r="99" spans="1:7" x14ac:dyDescent="0.3">
      <c r="A99" s="3" t="s">
        <v>67</v>
      </c>
      <c r="B99" s="5" t="s">
        <v>51</v>
      </c>
      <c r="C99" s="5" t="s">
        <v>8</v>
      </c>
      <c r="D99" s="5" t="s">
        <v>9</v>
      </c>
      <c r="E99" s="5" t="s">
        <v>49</v>
      </c>
      <c r="F99" s="5" t="s">
        <v>11</v>
      </c>
      <c r="G99" s="5">
        <v>21800000</v>
      </c>
    </row>
    <row r="100" spans="1:7" x14ac:dyDescent="0.3">
      <c r="A100" s="3" t="s">
        <v>67</v>
      </c>
      <c r="B100" s="5" t="s">
        <v>51</v>
      </c>
      <c r="C100" s="5" t="s">
        <v>8</v>
      </c>
      <c r="D100" s="5" t="s">
        <v>9</v>
      </c>
      <c r="E100" s="5" t="s">
        <v>10</v>
      </c>
      <c r="F100" s="5" t="s">
        <v>11</v>
      </c>
      <c r="G100" s="5">
        <v>108700000</v>
      </c>
    </row>
    <row r="101" spans="1:7" x14ac:dyDescent="0.3">
      <c r="A101" s="3" t="s">
        <v>67</v>
      </c>
      <c r="B101" s="5" t="s">
        <v>51</v>
      </c>
      <c r="C101" s="5" t="s">
        <v>8</v>
      </c>
      <c r="D101" s="5" t="s">
        <v>9</v>
      </c>
      <c r="E101" s="5" t="s">
        <v>12</v>
      </c>
      <c r="F101" s="5" t="s">
        <v>11</v>
      </c>
      <c r="G101" s="5">
        <v>0</v>
      </c>
    </row>
    <row r="102" spans="1:7" x14ac:dyDescent="0.3">
      <c r="A102" s="3" t="s">
        <v>67</v>
      </c>
      <c r="B102" s="5" t="s">
        <v>51</v>
      </c>
      <c r="C102" s="5" t="s">
        <v>8</v>
      </c>
      <c r="D102" s="5" t="s">
        <v>9</v>
      </c>
      <c r="E102" s="5" t="s">
        <v>13</v>
      </c>
      <c r="F102" s="5" t="s">
        <v>11</v>
      </c>
      <c r="G102" s="5">
        <v>0</v>
      </c>
    </row>
    <row r="103" spans="1:7" x14ac:dyDescent="0.3">
      <c r="A103" s="3" t="s">
        <v>67</v>
      </c>
      <c r="B103" s="5" t="s">
        <v>51</v>
      </c>
      <c r="C103" s="5" t="s">
        <v>8</v>
      </c>
      <c r="D103" s="5" t="s">
        <v>9</v>
      </c>
      <c r="E103" s="5" t="s">
        <v>14</v>
      </c>
      <c r="F103" s="5" t="s">
        <v>11</v>
      </c>
      <c r="G103" s="5">
        <v>493300000</v>
      </c>
    </row>
    <row r="104" spans="1:7" x14ac:dyDescent="0.3">
      <c r="A104" s="3" t="s">
        <v>67</v>
      </c>
      <c r="B104" s="5" t="s">
        <v>51</v>
      </c>
      <c r="C104" s="5" t="s">
        <v>8</v>
      </c>
      <c r="D104" s="5" t="s">
        <v>9</v>
      </c>
      <c r="E104" s="5" t="s">
        <v>15</v>
      </c>
      <c r="F104" s="5" t="s">
        <v>11</v>
      </c>
      <c r="G104" s="5">
        <v>368700000</v>
      </c>
    </row>
    <row r="105" spans="1:7" x14ac:dyDescent="0.3">
      <c r="A105" s="3" t="s">
        <v>67</v>
      </c>
      <c r="B105" s="5" t="s">
        <v>51</v>
      </c>
      <c r="C105" s="5" t="s">
        <v>8</v>
      </c>
      <c r="D105" s="5" t="s">
        <v>16</v>
      </c>
      <c r="E105" s="5" t="s">
        <v>17</v>
      </c>
      <c r="F105" s="5" t="s">
        <v>52</v>
      </c>
      <c r="G105" s="5">
        <v>2013.49</v>
      </c>
    </row>
    <row r="106" spans="1:7" x14ac:dyDescent="0.3">
      <c r="A106" s="3" t="s">
        <v>67</v>
      </c>
      <c r="B106" s="5" t="s">
        <v>51</v>
      </c>
      <c r="C106" s="5" t="s">
        <v>8</v>
      </c>
      <c r="D106" s="5" t="s">
        <v>16</v>
      </c>
      <c r="E106" s="5" t="s">
        <v>19</v>
      </c>
      <c r="F106" s="5" t="s">
        <v>52</v>
      </c>
      <c r="G106" s="5">
        <v>6332.01</v>
      </c>
    </row>
    <row r="107" spans="1:7" x14ac:dyDescent="0.3">
      <c r="A107" s="3" t="s">
        <v>67</v>
      </c>
      <c r="B107" s="5" t="s">
        <v>51</v>
      </c>
      <c r="C107" s="5" t="s">
        <v>8</v>
      </c>
      <c r="D107" s="5" t="s">
        <v>16</v>
      </c>
      <c r="E107" s="5" t="s">
        <v>20</v>
      </c>
      <c r="F107" s="5" t="s">
        <v>52</v>
      </c>
      <c r="G107" s="5">
        <v>1311.72</v>
      </c>
    </row>
    <row r="108" spans="1:7" x14ac:dyDescent="0.3">
      <c r="A108" s="3" t="s">
        <v>67</v>
      </c>
      <c r="B108" s="5" t="s">
        <v>51</v>
      </c>
      <c r="C108" s="5" t="s">
        <v>8</v>
      </c>
      <c r="D108" s="5" t="s">
        <v>21</v>
      </c>
      <c r="E108" s="5" t="s">
        <v>22</v>
      </c>
      <c r="F108" s="5" t="s">
        <v>23</v>
      </c>
      <c r="G108" s="5">
        <v>4570000</v>
      </c>
    </row>
    <row r="109" spans="1:7" x14ac:dyDescent="0.3">
      <c r="A109" s="3" t="s">
        <v>67</v>
      </c>
      <c r="B109" s="5" t="s">
        <v>51</v>
      </c>
      <c r="C109" s="5" t="s">
        <v>8</v>
      </c>
      <c r="D109" s="5" t="s">
        <v>21</v>
      </c>
      <c r="E109" s="5" t="s">
        <v>24</v>
      </c>
      <c r="F109" s="5" t="s">
        <v>23</v>
      </c>
      <c r="G109" s="5">
        <v>1390000</v>
      </c>
    </row>
    <row r="110" spans="1:7" x14ac:dyDescent="0.3">
      <c r="A110" s="3" t="s">
        <v>67</v>
      </c>
      <c r="B110" s="5" t="s">
        <v>51</v>
      </c>
      <c r="C110" s="5" t="s">
        <v>8</v>
      </c>
      <c r="D110" s="5" t="s">
        <v>21</v>
      </c>
      <c r="E110" s="5" t="s">
        <v>25</v>
      </c>
      <c r="F110" s="5" t="s">
        <v>23</v>
      </c>
      <c r="G110" s="5">
        <v>5960000</v>
      </c>
    </row>
    <row r="111" spans="1:7" x14ac:dyDescent="0.3">
      <c r="A111" s="3" t="s">
        <v>67</v>
      </c>
      <c r="B111" s="5" t="s">
        <v>51</v>
      </c>
      <c r="C111" s="5" t="s">
        <v>8</v>
      </c>
      <c r="D111" s="5" t="s">
        <v>26</v>
      </c>
      <c r="E111" s="5" t="s">
        <v>27</v>
      </c>
      <c r="F111" s="5" t="s">
        <v>28</v>
      </c>
      <c r="G111" s="5">
        <v>0</v>
      </c>
    </row>
    <row r="112" spans="1:7" x14ac:dyDescent="0.3">
      <c r="A112" s="3" t="s">
        <v>67</v>
      </c>
      <c r="B112" s="5" t="s">
        <v>51</v>
      </c>
      <c r="C112" s="5" t="s">
        <v>8</v>
      </c>
      <c r="D112" s="5" t="s">
        <v>26</v>
      </c>
      <c r="E112" s="5" t="s">
        <v>29</v>
      </c>
      <c r="F112" s="5" t="s">
        <v>28</v>
      </c>
      <c r="G112" s="5">
        <v>0</v>
      </c>
    </row>
    <row r="113" spans="1:7" x14ac:dyDescent="0.3">
      <c r="A113" s="3" t="s">
        <v>67</v>
      </c>
      <c r="B113" s="5" t="s">
        <v>51</v>
      </c>
      <c r="C113" s="5" t="s">
        <v>8</v>
      </c>
      <c r="D113" s="5" t="s">
        <v>26</v>
      </c>
      <c r="E113" s="5" t="s">
        <v>30</v>
      </c>
      <c r="F113" s="5" t="s">
        <v>28</v>
      </c>
      <c r="G113" s="5">
        <v>0</v>
      </c>
    </row>
    <row r="114" spans="1:7" x14ac:dyDescent="0.3">
      <c r="A114" s="3" t="s">
        <v>67</v>
      </c>
      <c r="B114" s="5" t="s">
        <v>51</v>
      </c>
      <c r="C114" s="5" t="s">
        <v>8</v>
      </c>
      <c r="D114" s="5" t="s">
        <v>26</v>
      </c>
      <c r="E114" s="5" t="s">
        <v>53</v>
      </c>
      <c r="F114" s="5" t="s">
        <v>28</v>
      </c>
      <c r="G114" s="5">
        <v>0</v>
      </c>
    </row>
    <row r="115" spans="1:7" x14ac:dyDescent="0.3">
      <c r="A115" s="3" t="s">
        <v>67</v>
      </c>
      <c r="B115" s="5" t="s">
        <v>51</v>
      </c>
      <c r="C115" s="5" t="s">
        <v>8</v>
      </c>
      <c r="D115" s="5" t="s">
        <v>26</v>
      </c>
      <c r="E115" s="5" t="s">
        <v>31</v>
      </c>
      <c r="F115" s="5" t="s">
        <v>28</v>
      </c>
      <c r="G115" s="5">
        <v>0</v>
      </c>
    </row>
    <row r="116" spans="1:7" x14ac:dyDescent="0.3">
      <c r="A116" s="3" t="s">
        <v>67</v>
      </c>
      <c r="B116" s="5" t="s">
        <v>51</v>
      </c>
      <c r="C116" s="5" t="s">
        <v>8</v>
      </c>
      <c r="D116" s="5" t="s">
        <v>26</v>
      </c>
      <c r="E116" s="5" t="s">
        <v>32</v>
      </c>
      <c r="F116" s="5" t="s">
        <v>28</v>
      </c>
      <c r="G116" s="5">
        <v>133865</v>
      </c>
    </row>
    <row r="117" spans="1:7" x14ac:dyDescent="0.3">
      <c r="A117" s="3" t="s">
        <v>67</v>
      </c>
      <c r="B117" s="5" t="s">
        <v>51</v>
      </c>
      <c r="C117" s="5" t="s">
        <v>8</v>
      </c>
      <c r="D117" s="5" t="s">
        <v>26</v>
      </c>
      <c r="E117" s="5" t="s">
        <v>33</v>
      </c>
      <c r="F117" s="5" t="s">
        <v>28</v>
      </c>
      <c r="G117" s="5">
        <v>894063</v>
      </c>
    </row>
    <row r="118" spans="1:7" x14ac:dyDescent="0.3">
      <c r="A118" s="3" t="s">
        <v>67</v>
      </c>
      <c r="B118" s="5" t="s">
        <v>51</v>
      </c>
      <c r="C118" s="5" t="s">
        <v>8</v>
      </c>
      <c r="D118" s="5" t="s">
        <v>26</v>
      </c>
      <c r="E118" s="5" t="s">
        <v>34</v>
      </c>
      <c r="F118" s="5" t="s">
        <v>28</v>
      </c>
      <c r="G118" s="5">
        <v>1027928</v>
      </c>
    </row>
    <row r="119" spans="1:7" x14ac:dyDescent="0.3">
      <c r="A119" s="3" t="s">
        <v>67</v>
      </c>
      <c r="B119" s="5" t="s">
        <v>51</v>
      </c>
      <c r="C119" s="5" t="s">
        <v>8</v>
      </c>
      <c r="D119" s="5" t="s">
        <v>26</v>
      </c>
      <c r="E119" s="5" t="s">
        <v>35</v>
      </c>
      <c r="F119" s="5" t="s">
        <v>28</v>
      </c>
      <c r="G119" s="5">
        <v>819914</v>
      </c>
    </row>
    <row r="120" spans="1:7" x14ac:dyDescent="0.3">
      <c r="A120" s="3" t="s">
        <v>67</v>
      </c>
      <c r="B120" s="5" t="s">
        <v>51</v>
      </c>
      <c r="C120" s="5" t="s">
        <v>8</v>
      </c>
      <c r="D120" s="5" t="s">
        <v>26</v>
      </c>
      <c r="E120" s="5" t="s">
        <v>54</v>
      </c>
      <c r="F120" s="5" t="s">
        <v>28</v>
      </c>
      <c r="G120" s="5">
        <v>0</v>
      </c>
    </row>
    <row r="121" spans="1:7" x14ac:dyDescent="0.3">
      <c r="A121" s="3" t="s">
        <v>67</v>
      </c>
      <c r="B121" s="5" t="s">
        <v>51</v>
      </c>
      <c r="C121" s="5" t="s">
        <v>8</v>
      </c>
      <c r="D121" s="5" t="s">
        <v>26</v>
      </c>
      <c r="E121" s="5" t="s">
        <v>37</v>
      </c>
      <c r="F121" s="5" t="s">
        <v>28</v>
      </c>
      <c r="G121" s="5">
        <v>103248</v>
      </c>
    </row>
    <row r="122" spans="1:7" x14ac:dyDescent="0.3">
      <c r="A122" s="3" t="s">
        <v>67</v>
      </c>
      <c r="B122" s="5" t="s">
        <v>51</v>
      </c>
      <c r="C122" s="5" t="s">
        <v>8</v>
      </c>
      <c r="D122" s="5" t="s">
        <v>26</v>
      </c>
      <c r="E122" s="5" t="s">
        <v>38</v>
      </c>
      <c r="F122" s="5" t="s">
        <v>28</v>
      </c>
      <c r="G122" s="5">
        <v>923162</v>
      </c>
    </row>
    <row r="123" spans="1:7" x14ac:dyDescent="0.3">
      <c r="A123" s="3" t="s">
        <v>67</v>
      </c>
      <c r="B123" s="5" t="s">
        <v>51</v>
      </c>
      <c r="C123" s="5" t="s">
        <v>8</v>
      </c>
      <c r="D123" s="5" t="s">
        <v>26</v>
      </c>
      <c r="E123" s="5" t="s">
        <v>39</v>
      </c>
      <c r="F123" s="5" t="s">
        <v>28</v>
      </c>
      <c r="G123" s="5">
        <v>871</v>
      </c>
    </row>
    <row r="124" spans="1:7" x14ac:dyDescent="0.3">
      <c r="A124" s="3" t="s">
        <v>67</v>
      </c>
      <c r="B124" s="5" t="s">
        <v>51</v>
      </c>
      <c r="C124" s="5" t="s">
        <v>8</v>
      </c>
      <c r="D124" s="5" t="s">
        <v>26</v>
      </c>
      <c r="E124" s="5" t="s">
        <v>40</v>
      </c>
      <c r="F124" s="5" t="s">
        <v>28</v>
      </c>
      <c r="G124" s="5">
        <v>103895</v>
      </c>
    </row>
    <row r="125" spans="1:7" x14ac:dyDescent="0.3">
      <c r="A125" s="3" t="s">
        <v>67</v>
      </c>
      <c r="B125" s="5" t="s">
        <v>51</v>
      </c>
      <c r="C125" s="5" t="s">
        <v>8</v>
      </c>
      <c r="D125" s="5" t="s">
        <v>26</v>
      </c>
      <c r="E125" s="5" t="s">
        <v>55</v>
      </c>
      <c r="F125" s="5" t="s">
        <v>28</v>
      </c>
      <c r="G125" s="5">
        <v>0</v>
      </c>
    </row>
    <row r="126" spans="1:7" x14ac:dyDescent="0.3">
      <c r="A126" s="3" t="s">
        <v>67</v>
      </c>
      <c r="B126" s="5" t="s">
        <v>51</v>
      </c>
      <c r="C126" s="5" t="s">
        <v>8</v>
      </c>
      <c r="D126" s="5" t="s">
        <v>26</v>
      </c>
      <c r="E126" s="5" t="s">
        <v>42</v>
      </c>
      <c r="F126" s="5" t="s">
        <v>28</v>
      </c>
      <c r="G126" s="5">
        <v>104766</v>
      </c>
    </row>
    <row r="127" spans="1:7" x14ac:dyDescent="0.3">
      <c r="A127" s="3" t="s">
        <v>67</v>
      </c>
      <c r="B127" s="5" t="s">
        <v>51</v>
      </c>
      <c r="C127" s="5" t="s">
        <v>43</v>
      </c>
      <c r="D127" s="5" t="s">
        <v>6</v>
      </c>
      <c r="E127" s="5" t="s">
        <v>44</v>
      </c>
      <c r="F127" s="5" t="s">
        <v>45</v>
      </c>
      <c r="G127" s="5">
        <v>7350000</v>
      </c>
    </row>
    <row r="128" spans="1:7" x14ac:dyDescent="0.3">
      <c r="A128" s="3" t="s">
        <v>67</v>
      </c>
      <c r="B128" s="5" t="s">
        <v>51</v>
      </c>
      <c r="C128" s="5" t="s">
        <v>43</v>
      </c>
      <c r="D128" s="5" t="s">
        <v>6</v>
      </c>
      <c r="E128" s="5" t="s">
        <v>46</v>
      </c>
      <c r="F128" s="5" t="s">
        <v>45</v>
      </c>
      <c r="G128" s="5">
        <v>56290000</v>
      </c>
    </row>
    <row r="129" spans="1:7" x14ac:dyDescent="0.3">
      <c r="A129" s="3" t="s">
        <v>67</v>
      </c>
      <c r="B129" s="5" t="s">
        <v>51</v>
      </c>
      <c r="C129" s="5" t="s">
        <v>43</v>
      </c>
      <c r="D129" s="5" t="s">
        <v>6</v>
      </c>
      <c r="E129" s="5" t="s">
        <v>47</v>
      </c>
      <c r="F129" s="5" t="s">
        <v>45</v>
      </c>
      <c r="G129" s="5">
        <v>63640000</v>
      </c>
    </row>
    <row r="130" spans="1:7" x14ac:dyDescent="0.3">
      <c r="A130" s="3" t="s">
        <v>67</v>
      </c>
      <c r="B130" s="5" t="s">
        <v>51</v>
      </c>
      <c r="C130" s="5" t="s">
        <v>43</v>
      </c>
      <c r="D130" s="5" t="s">
        <v>9</v>
      </c>
      <c r="E130" s="5" t="s">
        <v>48</v>
      </c>
      <c r="F130" s="5" t="s">
        <v>11</v>
      </c>
      <c r="G130" s="5">
        <v>375600000</v>
      </c>
    </row>
    <row r="131" spans="1:7" x14ac:dyDescent="0.3">
      <c r="A131" s="3" t="s">
        <v>67</v>
      </c>
      <c r="B131" s="5" t="s">
        <v>51</v>
      </c>
      <c r="C131" s="5" t="s">
        <v>43</v>
      </c>
      <c r="D131" s="5" t="s">
        <v>9</v>
      </c>
      <c r="E131" s="5" t="s">
        <v>49</v>
      </c>
      <c r="F131" s="5" t="s">
        <v>11</v>
      </c>
      <c r="G131" s="5">
        <v>30900000</v>
      </c>
    </row>
    <row r="132" spans="1:7" x14ac:dyDescent="0.3">
      <c r="A132" s="3" t="s">
        <v>67</v>
      </c>
      <c r="B132" s="5" t="s">
        <v>51</v>
      </c>
      <c r="C132" s="5" t="s">
        <v>43</v>
      </c>
      <c r="D132" s="5" t="s">
        <v>9</v>
      </c>
      <c r="E132" s="5" t="s">
        <v>10</v>
      </c>
      <c r="F132" s="5" t="s">
        <v>11</v>
      </c>
      <c r="G132" s="5">
        <v>133600000</v>
      </c>
    </row>
    <row r="133" spans="1:7" x14ac:dyDescent="0.3">
      <c r="A133" s="3" t="s">
        <v>67</v>
      </c>
      <c r="B133" s="5" t="s">
        <v>51</v>
      </c>
      <c r="C133" s="5" t="s">
        <v>43</v>
      </c>
      <c r="D133" s="5" t="s">
        <v>9</v>
      </c>
      <c r="E133" s="5" t="s">
        <v>12</v>
      </c>
      <c r="F133" s="5" t="s">
        <v>11</v>
      </c>
      <c r="G133" s="5">
        <v>0</v>
      </c>
    </row>
    <row r="134" spans="1:7" x14ac:dyDescent="0.3">
      <c r="A134" s="3" t="s">
        <v>67</v>
      </c>
      <c r="B134" s="5" t="s">
        <v>51</v>
      </c>
      <c r="C134" s="5" t="s">
        <v>43</v>
      </c>
      <c r="D134" s="5" t="s">
        <v>9</v>
      </c>
      <c r="E134" s="5" t="s">
        <v>13</v>
      </c>
      <c r="F134" s="5" t="s">
        <v>11</v>
      </c>
      <c r="G134" s="5">
        <v>30000</v>
      </c>
    </row>
    <row r="135" spans="1:7" x14ac:dyDescent="0.3">
      <c r="A135" s="3" t="s">
        <v>67</v>
      </c>
      <c r="B135" s="5" t="s">
        <v>51</v>
      </c>
      <c r="C135" s="5" t="s">
        <v>43</v>
      </c>
      <c r="D135" s="5" t="s">
        <v>9</v>
      </c>
      <c r="E135" s="5" t="s">
        <v>14</v>
      </c>
      <c r="F135" s="5" t="s">
        <v>11</v>
      </c>
      <c r="G135" s="5">
        <v>540400000</v>
      </c>
    </row>
    <row r="136" spans="1:7" x14ac:dyDescent="0.3">
      <c r="A136" s="3" t="s">
        <v>67</v>
      </c>
      <c r="B136" s="5" t="s">
        <v>51</v>
      </c>
      <c r="C136" s="5" t="s">
        <v>43</v>
      </c>
      <c r="D136" s="5" t="s">
        <v>9</v>
      </c>
      <c r="E136" s="5" t="s">
        <v>15</v>
      </c>
      <c r="F136" s="5" t="s">
        <v>11</v>
      </c>
      <c r="G136" s="5">
        <v>525400000</v>
      </c>
    </row>
    <row r="137" spans="1:7" x14ac:dyDescent="0.3">
      <c r="A137" s="3" t="s">
        <v>67</v>
      </c>
      <c r="B137" s="5" t="s">
        <v>51</v>
      </c>
      <c r="C137" s="5" t="s">
        <v>43</v>
      </c>
      <c r="D137" s="5" t="s">
        <v>16</v>
      </c>
      <c r="E137" s="5" t="s">
        <v>17</v>
      </c>
      <c r="F137" s="5" t="s">
        <v>52</v>
      </c>
      <c r="G137" s="5">
        <v>2128.67</v>
      </c>
    </row>
    <row r="138" spans="1:7" x14ac:dyDescent="0.3">
      <c r="A138" s="3" t="s">
        <v>67</v>
      </c>
      <c r="B138" s="5" t="s">
        <v>51</v>
      </c>
      <c r="C138" s="5" t="s">
        <v>43</v>
      </c>
      <c r="D138" s="5" t="s">
        <v>16</v>
      </c>
      <c r="E138" s="5" t="s">
        <v>19</v>
      </c>
      <c r="F138" s="5" t="s">
        <v>52</v>
      </c>
      <c r="G138" s="5">
        <v>7273.01</v>
      </c>
    </row>
    <row r="139" spans="1:7" x14ac:dyDescent="0.3">
      <c r="A139" s="3" t="s">
        <v>67</v>
      </c>
      <c r="B139" s="5" t="s">
        <v>51</v>
      </c>
      <c r="C139" s="5" t="s">
        <v>43</v>
      </c>
      <c r="D139" s="5" t="s">
        <v>16</v>
      </c>
      <c r="E139" s="5" t="s">
        <v>20</v>
      </c>
      <c r="F139" s="5" t="s">
        <v>52</v>
      </c>
      <c r="G139" s="5">
        <v>1038.54</v>
      </c>
    </row>
    <row r="140" spans="1:7" x14ac:dyDescent="0.3">
      <c r="A140" s="3" t="s">
        <v>67</v>
      </c>
      <c r="B140" s="5" t="s">
        <v>51</v>
      </c>
      <c r="C140" s="5" t="s">
        <v>43</v>
      </c>
      <c r="D140" s="5" t="s">
        <v>21</v>
      </c>
      <c r="E140" s="5" t="s">
        <v>22</v>
      </c>
      <c r="F140" s="5" t="s">
        <v>23</v>
      </c>
      <c r="G140" s="5">
        <v>4720000</v>
      </c>
    </row>
    <row r="141" spans="1:7" x14ac:dyDescent="0.3">
      <c r="A141" s="3" t="s">
        <v>67</v>
      </c>
      <c r="B141" s="5" t="s">
        <v>51</v>
      </c>
      <c r="C141" s="5" t="s">
        <v>43</v>
      </c>
      <c r="D141" s="5" t="s">
        <v>21</v>
      </c>
      <c r="E141" s="5" t="s">
        <v>24</v>
      </c>
      <c r="F141" s="5" t="s">
        <v>23</v>
      </c>
      <c r="G141" s="5">
        <v>1620000</v>
      </c>
    </row>
    <row r="142" spans="1:7" x14ac:dyDescent="0.3">
      <c r="A142" s="3" t="s">
        <v>67</v>
      </c>
      <c r="B142" s="5" t="s">
        <v>51</v>
      </c>
      <c r="C142" s="5" t="s">
        <v>43</v>
      </c>
      <c r="D142" s="5" t="s">
        <v>21</v>
      </c>
      <c r="E142" s="5" t="s">
        <v>25</v>
      </c>
      <c r="F142" s="5" t="s">
        <v>23</v>
      </c>
      <c r="G142" s="5">
        <v>6340000</v>
      </c>
    </row>
    <row r="143" spans="1:7" x14ac:dyDescent="0.3">
      <c r="A143" s="3" t="s">
        <v>67</v>
      </c>
      <c r="B143" s="5" t="s">
        <v>51</v>
      </c>
      <c r="C143" s="5" t="s">
        <v>43</v>
      </c>
      <c r="D143" s="5" t="s">
        <v>26</v>
      </c>
      <c r="E143" s="5" t="s">
        <v>27</v>
      </c>
      <c r="F143" s="5" t="s">
        <v>28</v>
      </c>
      <c r="G143" s="5">
        <v>2361</v>
      </c>
    </row>
    <row r="144" spans="1:7" x14ac:dyDescent="0.3">
      <c r="A144" s="3" t="s">
        <v>67</v>
      </c>
      <c r="B144" s="5" t="s">
        <v>51</v>
      </c>
      <c r="C144" s="5" t="s">
        <v>43</v>
      </c>
      <c r="D144" s="5" t="s">
        <v>26</v>
      </c>
      <c r="E144" s="5" t="s">
        <v>29</v>
      </c>
      <c r="F144" s="5" t="s">
        <v>28</v>
      </c>
      <c r="G144" s="5">
        <v>104.6</v>
      </c>
    </row>
    <row r="145" spans="1:7" x14ac:dyDescent="0.3">
      <c r="A145" s="3" t="s">
        <v>67</v>
      </c>
      <c r="B145" s="5" t="s">
        <v>51</v>
      </c>
      <c r="C145" s="5" t="s">
        <v>43</v>
      </c>
      <c r="D145" s="5" t="s">
        <v>26</v>
      </c>
      <c r="E145" s="5" t="s">
        <v>30</v>
      </c>
      <c r="F145" s="5" t="s">
        <v>28</v>
      </c>
      <c r="G145" s="5">
        <v>21.1</v>
      </c>
    </row>
    <row r="146" spans="1:7" x14ac:dyDescent="0.3">
      <c r="A146" s="3" t="s">
        <v>67</v>
      </c>
      <c r="B146" s="5" t="s">
        <v>51</v>
      </c>
      <c r="C146" s="5" t="s">
        <v>43</v>
      </c>
      <c r="D146" s="5" t="s">
        <v>26</v>
      </c>
      <c r="E146" s="5" t="s">
        <v>53</v>
      </c>
      <c r="F146" s="5" t="s">
        <v>28</v>
      </c>
      <c r="G146" s="5">
        <v>12537</v>
      </c>
    </row>
    <row r="147" spans="1:7" x14ac:dyDescent="0.3">
      <c r="A147" s="3" t="s">
        <v>67</v>
      </c>
      <c r="B147" s="5" t="s">
        <v>51</v>
      </c>
      <c r="C147" s="5" t="s">
        <v>43</v>
      </c>
      <c r="D147" s="5" t="s">
        <v>26</v>
      </c>
      <c r="E147" s="5" t="s">
        <v>31</v>
      </c>
      <c r="F147" s="5" t="s">
        <v>28</v>
      </c>
      <c r="G147" s="5">
        <v>99.79</v>
      </c>
    </row>
    <row r="148" spans="1:7" x14ac:dyDescent="0.3">
      <c r="A148" s="3" t="s">
        <v>67</v>
      </c>
      <c r="B148" s="5" t="s">
        <v>51</v>
      </c>
      <c r="C148" s="5" t="s">
        <v>43</v>
      </c>
      <c r="D148" s="5" t="s">
        <v>26</v>
      </c>
      <c r="E148" s="5" t="s">
        <v>32</v>
      </c>
      <c r="F148" s="5" t="s">
        <v>28</v>
      </c>
      <c r="G148" s="5">
        <v>229316</v>
      </c>
    </row>
    <row r="149" spans="1:7" x14ac:dyDescent="0.3">
      <c r="A149" s="3" t="s">
        <v>67</v>
      </c>
      <c r="B149" s="5" t="s">
        <v>51</v>
      </c>
      <c r="C149" s="5" t="s">
        <v>43</v>
      </c>
      <c r="D149" s="5" t="s">
        <v>26</v>
      </c>
      <c r="E149" s="5" t="s">
        <v>33</v>
      </c>
      <c r="F149" s="5" t="s">
        <v>28</v>
      </c>
      <c r="G149" s="5">
        <v>654239</v>
      </c>
    </row>
    <row r="150" spans="1:7" x14ac:dyDescent="0.3">
      <c r="A150" s="3" t="s">
        <v>67</v>
      </c>
      <c r="B150" s="5" t="s">
        <v>51</v>
      </c>
      <c r="C150" s="5" t="s">
        <v>43</v>
      </c>
      <c r="D150" s="5" t="s">
        <v>26</v>
      </c>
      <c r="E150" s="5" t="s">
        <v>34</v>
      </c>
      <c r="F150" s="5" t="s">
        <v>28</v>
      </c>
      <c r="G150" s="5">
        <v>898679</v>
      </c>
    </row>
    <row r="151" spans="1:7" x14ac:dyDescent="0.3">
      <c r="A151" s="3" t="s">
        <v>67</v>
      </c>
      <c r="B151" s="5" t="s">
        <v>51</v>
      </c>
      <c r="C151" s="5" t="s">
        <v>43</v>
      </c>
      <c r="D151" s="5" t="s">
        <v>26</v>
      </c>
      <c r="E151" s="5" t="s">
        <v>35</v>
      </c>
      <c r="F151" s="5" t="s">
        <v>28</v>
      </c>
      <c r="G151" s="5">
        <v>721285</v>
      </c>
    </row>
    <row r="152" spans="1:7" x14ac:dyDescent="0.3">
      <c r="A152" s="3" t="s">
        <v>67</v>
      </c>
      <c r="B152" s="5" t="s">
        <v>51</v>
      </c>
      <c r="C152" s="5" t="s">
        <v>43</v>
      </c>
      <c r="D152" s="5" t="s">
        <v>26</v>
      </c>
      <c r="E152" s="5" t="s">
        <v>54</v>
      </c>
      <c r="F152" s="5" t="s">
        <v>28</v>
      </c>
      <c r="G152" s="5">
        <v>553484</v>
      </c>
    </row>
    <row r="153" spans="1:7" x14ac:dyDescent="0.3">
      <c r="A153" s="3" t="s">
        <v>67</v>
      </c>
      <c r="B153" s="5" t="s">
        <v>51</v>
      </c>
      <c r="C153" s="5" t="s">
        <v>43</v>
      </c>
      <c r="D153" s="5" t="s">
        <v>26</v>
      </c>
      <c r="E153" s="5" t="s">
        <v>37</v>
      </c>
      <c r="F153" s="5" t="s">
        <v>28</v>
      </c>
      <c r="G153" s="5">
        <v>87695.67</v>
      </c>
    </row>
    <row r="154" spans="1:7" x14ac:dyDescent="0.3">
      <c r="A154" s="3" t="s">
        <v>67</v>
      </c>
      <c r="B154" s="5" t="s">
        <v>51</v>
      </c>
      <c r="C154" s="5" t="s">
        <v>43</v>
      </c>
      <c r="D154" s="5" t="s">
        <v>26</v>
      </c>
      <c r="E154" s="5" t="s">
        <v>38</v>
      </c>
      <c r="F154" s="5" t="s">
        <v>28</v>
      </c>
      <c r="G154" s="5">
        <v>808981</v>
      </c>
    </row>
    <row r="155" spans="1:7" x14ac:dyDescent="0.3">
      <c r="A155" s="3" t="s">
        <v>67</v>
      </c>
      <c r="B155" s="5" t="s">
        <v>51</v>
      </c>
      <c r="C155" s="5" t="s">
        <v>43</v>
      </c>
      <c r="D155" s="5" t="s">
        <v>26</v>
      </c>
      <c r="E155" s="5" t="s">
        <v>39</v>
      </c>
      <c r="F155" s="5" t="s">
        <v>28</v>
      </c>
      <c r="G155" s="5">
        <v>1196</v>
      </c>
    </row>
    <row r="156" spans="1:7" x14ac:dyDescent="0.3">
      <c r="A156" s="3" t="s">
        <v>67</v>
      </c>
      <c r="B156" s="5" t="s">
        <v>51</v>
      </c>
      <c r="C156" s="5" t="s">
        <v>43</v>
      </c>
      <c r="D156" s="5" t="s">
        <v>26</v>
      </c>
      <c r="E156" s="5" t="s">
        <v>40</v>
      </c>
      <c r="F156" s="5" t="s">
        <v>28</v>
      </c>
      <c r="G156" s="5">
        <v>119368</v>
      </c>
    </row>
    <row r="157" spans="1:7" x14ac:dyDescent="0.3">
      <c r="A157" s="3" t="s">
        <v>67</v>
      </c>
      <c r="B157" s="5" t="s">
        <v>51</v>
      </c>
      <c r="C157" s="5" t="s">
        <v>43</v>
      </c>
      <c r="D157" s="5" t="s">
        <v>26</v>
      </c>
      <c r="E157" s="5" t="s">
        <v>55</v>
      </c>
      <c r="F157" s="5" t="s">
        <v>28</v>
      </c>
      <c r="G157" s="5">
        <v>0</v>
      </c>
    </row>
    <row r="158" spans="1:7" x14ac:dyDescent="0.3">
      <c r="A158" s="3" t="s">
        <v>67</v>
      </c>
      <c r="B158" s="5" t="s">
        <v>51</v>
      </c>
      <c r="C158" s="5" t="s">
        <v>43</v>
      </c>
      <c r="D158" s="5" t="s">
        <v>26</v>
      </c>
      <c r="E158" s="5" t="s">
        <v>42</v>
      </c>
      <c r="F158" s="5" t="s">
        <v>28</v>
      </c>
      <c r="G158" s="5">
        <v>120564</v>
      </c>
    </row>
    <row r="159" spans="1:7" x14ac:dyDescent="0.3">
      <c r="A159" s="3" t="s">
        <v>67</v>
      </c>
      <c r="B159" s="5" t="s">
        <v>51</v>
      </c>
      <c r="C159" s="5" t="s">
        <v>50</v>
      </c>
      <c r="D159" s="5" t="s">
        <v>6</v>
      </c>
      <c r="E159" s="5" t="s">
        <v>44</v>
      </c>
      <c r="F159" s="5" t="s">
        <v>45</v>
      </c>
      <c r="G159" s="5">
        <v>7540000</v>
      </c>
    </row>
    <row r="160" spans="1:7" x14ac:dyDescent="0.3">
      <c r="A160" s="3" t="s">
        <v>67</v>
      </c>
      <c r="B160" s="5" t="s">
        <v>51</v>
      </c>
      <c r="C160" s="5" t="s">
        <v>50</v>
      </c>
      <c r="D160" s="5" t="s">
        <v>6</v>
      </c>
      <c r="E160" s="5" t="s">
        <v>46</v>
      </c>
      <c r="F160" s="5" t="s">
        <v>45</v>
      </c>
      <c r="G160" s="5">
        <v>60740000</v>
      </c>
    </row>
    <row r="161" spans="1:7" x14ac:dyDescent="0.3">
      <c r="A161" s="3" t="s">
        <v>67</v>
      </c>
      <c r="B161" s="5" t="s">
        <v>51</v>
      </c>
      <c r="C161" s="5" t="s">
        <v>50</v>
      </c>
      <c r="D161" s="5" t="s">
        <v>6</v>
      </c>
      <c r="E161" s="5" t="s">
        <v>47</v>
      </c>
      <c r="F161" s="5" t="s">
        <v>45</v>
      </c>
      <c r="G161" s="5">
        <v>68280000</v>
      </c>
    </row>
    <row r="162" spans="1:7" x14ac:dyDescent="0.3">
      <c r="A162" s="3" t="s">
        <v>67</v>
      </c>
      <c r="B162" s="5" t="s">
        <v>51</v>
      </c>
      <c r="C162" s="5" t="s">
        <v>50</v>
      </c>
      <c r="D162" s="5" t="s">
        <v>9</v>
      </c>
      <c r="E162" s="5" t="s">
        <v>48</v>
      </c>
      <c r="F162" s="5" t="s">
        <v>11</v>
      </c>
      <c r="G162" s="5">
        <v>370800000</v>
      </c>
    </row>
    <row r="163" spans="1:7" x14ac:dyDescent="0.3">
      <c r="A163" s="3" t="s">
        <v>67</v>
      </c>
      <c r="B163" s="5" t="s">
        <v>51</v>
      </c>
      <c r="C163" s="5" t="s">
        <v>50</v>
      </c>
      <c r="D163" s="5" t="s">
        <v>9</v>
      </c>
      <c r="E163" s="5" t="s">
        <v>49</v>
      </c>
      <c r="F163" s="5" t="s">
        <v>11</v>
      </c>
      <c r="G163" s="5">
        <v>24100000</v>
      </c>
    </row>
    <row r="164" spans="1:7" x14ac:dyDescent="0.3">
      <c r="A164" s="3" t="s">
        <v>67</v>
      </c>
      <c r="B164" s="5" t="s">
        <v>51</v>
      </c>
      <c r="C164" s="5" t="s">
        <v>50</v>
      </c>
      <c r="D164" s="5" t="s">
        <v>9</v>
      </c>
      <c r="E164" s="5" t="s">
        <v>10</v>
      </c>
      <c r="F164" s="5" t="s">
        <v>11</v>
      </c>
      <c r="G164" s="5">
        <v>130100000</v>
      </c>
    </row>
    <row r="165" spans="1:7" x14ac:dyDescent="0.3">
      <c r="A165" s="3" t="s">
        <v>67</v>
      </c>
      <c r="B165" s="5" t="s">
        <v>51</v>
      </c>
      <c r="C165" s="5" t="s">
        <v>50</v>
      </c>
      <c r="D165" s="5" t="s">
        <v>9</v>
      </c>
      <c r="E165" s="5" t="s">
        <v>12</v>
      </c>
      <c r="F165" s="5" t="s">
        <v>11</v>
      </c>
      <c r="G165" s="5">
        <v>0</v>
      </c>
    </row>
    <row r="166" spans="1:7" x14ac:dyDescent="0.3">
      <c r="A166" s="3" t="s">
        <v>67</v>
      </c>
      <c r="B166" s="5" t="s">
        <v>51</v>
      </c>
      <c r="C166" s="5" t="s">
        <v>50</v>
      </c>
      <c r="D166" s="5" t="s">
        <v>9</v>
      </c>
      <c r="E166" s="5" t="s">
        <v>13</v>
      </c>
      <c r="F166" s="5" t="s">
        <v>11</v>
      </c>
      <c r="G166" s="5">
        <v>120000</v>
      </c>
    </row>
    <row r="167" spans="1:7" x14ac:dyDescent="0.3">
      <c r="A167" s="3" t="s">
        <v>67</v>
      </c>
      <c r="B167" s="5" t="s">
        <v>51</v>
      </c>
      <c r="C167" s="5" t="s">
        <v>50</v>
      </c>
      <c r="D167" s="5" t="s">
        <v>9</v>
      </c>
      <c r="E167" s="5" t="s">
        <v>14</v>
      </c>
      <c r="F167" s="5" t="s">
        <v>11</v>
      </c>
      <c r="G167" s="5">
        <v>539100000</v>
      </c>
    </row>
    <row r="168" spans="1:7" x14ac:dyDescent="0.3">
      <c r="A168" s="3" t="s">
        <v>67</v>
      </c>
      <c r="B168" s="5" t="s">
        <v>51</v>
      </c>
      <c r="C168" s="5" t="s">
        <v>50</v>
      </c>
      <c r="D168" s="5" t="s">
        <v>9</v>
      </c>
      <c r="E168" s="5" t="s">
        <v>15</v>
      </c>
      <c r="F168" s="5" t="s">
        <v>11</v>
      </c>
      <c r="G168" s="5">
        <v>546600000</v>
      </c>
    </row>
    <row r="169" spans="1:7" x14ac:dyDescent="0.3">
      <c r="A169" s="3" t="s">
        <v>67</v>
      </c>
      <c r="B169" s="5" t="s">
        <v>51</v>
      </c>
      <c r="C169" s="5" t="s">
        <v>50</v>
      </c>
      <c r="D169" s="5" t="s">
        <v>16</v>
      </c>
      <c r="E169" s="5" t="s">
        <v>17</v>
      </c>
      <c r="F169" s="5" t="s">
        <v>52</v>
      </c>
      <c r="G169" s="5">
        <v>2319.2800000000002</v>
      </c>
    </row>
    <row r="170" spans="1:7" x14ac:dyDescent="0.3">
      <c r="A170" s="3" t="s">
        <v>67</v>
      </c>
      <c r="B170" s="5" t="s">
        <v>51</v>
      </c>
      <c r="C170" s="5" t="s">
        <v>50</v>
      </c>
      <c r="D170" s="5" t="s">
        <v>16</v>
      </c>
      <c r="E170" s="5" t="s">
        <v>19</v>
      </c>
      <c r="F170" s="5" t="s">
        <v>52</v>
      </c>
      <c r="G170" s="5">
        <v>7735.26</v>
      </c>
    </row>
    <row r="171" spans="1:7" x14ac:dyDescent="0.3">
      <c r="A171" s="3" t="s">
        <v>67</v>
      </c>
      <c r="B171" s="5" t="s">
        <v>51</v>
      </c>
      <c r="C171" s="5" t="s">
        <v>50</v>
      </c>
      <c r="D171" s="5" t="s">
        <v>16</v>
      </c>
      <c r="E171" s="5" t="s">
        <v>20</v>
      </c>
      <c r="F171" s="5" t="s">
        <v>52</v>
      </c>
      <c r="G171" s="5">
        <v>1097.72</v>
      </c>
    </row>
    <row r="172" spans="1:7" x14ac:dyDescent="0.3">
      <c r="A172" s="3" t="s">
        <v>67</v>
      </c>
      <c r="B172" s="5" t="s">
        <v>51</v>
      </c>
      <c r="C172" s="5" t="s">
        <v>50</v>
      </c>
      <c r="D172" s="5" t="s">
        <v>21</v>
      </c>
      <c r="E172" s="5" t="s">
        <v>22</v>
      </c>
      <c r="F172" s="5" t="s">
        <v>23</v>
      </c>
      <c r="G172" s="5">
        <v>5310000</v>
      </c>
    </row>
    <row r="173" spans="1:7" x14ac:dyDescent="0.3">
      <c r="A173" s="3" t="s">
        <v>67</v>
      </c>
      <c r="B173" s="5" t="s">
        <v>51</v>
      </c>
      <c r="C173" s="5" t="s">
        <v>50</v>
      </c>
      <c r="D173" s="5" t="s">
        <v>21</v>
      </c>
      <c r="E173" s="5" t="s">
        <v>24</v>
      </c>
      <c r="F173" s="5" t="s">
        <v>23</v>
      </c>
      <c r="G173" s="5">
        <v>1190000</v>
      </c>
    </row>
    <row r="174" spans="1:7" x14ac:dyDescent="0.3">
      <c r="A174" s="3" t="s">
        <v>67</v>
      </c>
      <c r="B174" s="5" t="s">
        <v>51</v>
      </c>
      <c r="C174" s="5" t="s">
        <v>50</v>
      </c>
      <c r="D174" s="5" t="s">
        <v>21</v>
      </c>
      <c r="E174" s="5" t="s">
        <v>25</v>
      </c>
      <c r="F174" s="5" t="s">
        <v>23</v>
      </c>
      <c r="G174" s="5">
        <v>6500000</v>
      </c>
    </row>
    <row r="175" spans="1:7" x14ac:dyDescent="0.3">
      <c r="A175" s="3" t="s">
        <v>67</v>
      </c>
      <c r="B175" s="5" t="s">
        <v>51</v>
      </c>
      <c r="C175" s="5" t="s">
        <v>50</v>
      </c>
      <c r="D175" s="5" t="s">
        <v>26</v>
      </c>
      <c r="E175" s="5" t="s">
        <v>27</v>
      </c>
      <c r="F175" s="5" t="s">
        <v>28</v>
      </c>
      <c r="G175" s="5">
        <v>1261</v>
      </c>
    </row>
    <row r="176" spans="1:7" x14ac:dyDescent="0.3">
      <c r="A176" s="3" t="s">
        <v>67</v>
      </c>
      <c r="B176" s="5" t="s">
        <v>51</v>
      </c>
      <c r="C176" s="5" t="s">
        <v>50</v>
      </c>
      <c r="D176" s="5" t="s">
        <v>26</v>
      </c>
      <c r="E176" s="5" t="s">
        <v>29</v>
      </c>
      <c r="F176" s="5" t="s">
        <v>28</v>
      </c>
      <c r="G176" s="5">
        <v>73.23</v>
      </c>
    </row>
    <row r="177" spans="1:7" x14ac:dyDescent="0.3">
      <c r="A177" s="3" t="s">
        <v>67</v>
      </c>
      <c r="B177" s="5" t="s">
        <v>51</v>
      </c>
      <c r="C177" s="5" t="s">
        <v>50</v>
      </c>
      <c r="D177" s="5" t="s">
        <v>26</v>
      </c>
      <c r="E177" s="5" t="s">
        <v>30</v>
      </c>
      <c r="F177" s="5" t="s">
        <v>28</v>
      </c>
      <c r="G177" s="5">
        <v>7.63</v>
      </c>
    </row>
    <row r="178" spans="1:7" x14ac:dyDescent="0.3">
      <c r="A178" s="3" t="s">
        <v>67</v>
      </c>
      <c r="B178" s="5" t="s">
        <v>51</v>
      </c>
      <c r="C178" s="5" t="s">
        <v>50</v>
      </c>
      <c r="D178" s="5" t="s">
        <v>26</v>
      </c>
      <c r="E178" s="5" t="s">
        <v>53</v>
      </c>
      <c r="F178" s="5" t="s">
        <v>28</v>
      </c>
      <c r="G178" s="5">
        <v>15800.28</v>
      </c>
    </row>
    <row r="179" spans="1:7" x14ac:dyDescent="0.3">
      <c r="A179" s="3" t="s">
        <v>67</v>
      </c>
      <c r="B179" s="5" t="s">
        <v>51</v>
      </c>
      <c r="C179" s="5" t="s">
        <v>50</v>
      </c>
      <c r="D179" s="5" t="s">
        <v>26</v>
      </c>
      <c r="E179" s="5" t="s">
        <v>31</v>
      </c>
      <c r="F179" s="5" t="s">
        <v>28</v>
      </c>
      <c r="G179" s="5">
        <v>88.43</v>
      </c>
    </row>
    <row r="180" spans="1:7" x14ac:dyDescent="0.3">
      <c r="A180" s="3" t="s">
        <v>67</v>
      </c>
      <c r="B180" s="5" t="s">
        <v>51</v>
      </c>
      <c r="C180" s="5" t="s">
        <v>50</v>
      </c>
      <c r="D180" s="5" t="s">
        <v>26</v>
      </c>
      <c r="E180" s="5" t="s">
        <v>32</v>
      </c>
      <c r="F180" s="5" t="s">
        <v>28</v>
      </c>
      <c r="G180" s="5">
        <v>221372</v>
      </c>
    </row>
    <row r="181" spans="1:7" x14ac:dyDescent="0.3">
      <c r="A181" s="3" t="s">
        <v>67</v>
      </c>
      <c r="B181" s="5" t="s">
        <v>51</v>
      </c>
      <c r="C181" s="5" t="s">
        <v>50</v>
      </c>
      <c r="D181" s="5" t="s">
        <v>26</v>
      </c>
      <c r="E181" s="5" t="s">
        <v>33</v>
      </c>
      <c r="F181" s="5" t="s">
        <v>28</v>
      </c>
      <c r="G181" s="5">
        <v>804332</v>
      </c>
    </row>
    <row r="182" spans="1:7" x14ac:dyDescent="0.3">
      <c r="A182" s="3" t="s">
        <v>67</v>
      </c>
      <c r="B182" s="5" t="s">
        <v>51</v>
      </c>
      <c r="C182" s="5" t="s">
        <v>50</v>
      </c>
      <c r="D182" s="5" t="s">
        <v>26</v>
      </c>
      <c r="E182" s="5" t="s">
        <v>34</v>
      </c>
      <c r="F182" s="5" t="s">
        <v>28</v>
      </c>
      <c r="G182" s="5">
        <v>1042936</v>
      </c>
    </row>
    <row r="183" spans="1:7" x14ac:dyDescent="0.3">
      <c r="A183" s="3" t="s">
        <v>67</v>
      </c>
      <c r="B183" s="5" t="s">
        <v>51</v>
      </c>
      <c r="C183" s="5" t="s">
        <v>50</v>
      </c>
      <c r="D183" s="5" t="s">
        <v>26</v>
      </c>
      <c r="E183" s="5" t="s">
        <v>35</v>
      </c>
      <c r="F183" s="5" t="s">
        <v>28</v>
      </c>
      <c r="G183" s="5">
        <v>369259</v>
      </c>
    </row>
    <row r="184" spans="1:7" x14ac:dyDescent="0.3">
      <c r="A184" s="3" t="s">
        <v>67</v>
      </c>
      <c r="B184" s="5" t="s">
        <v>51</v>
      </c>
      <c r="C184" s="5" t="s">
        <v>50</v>
      </c>
      <c r="D184" s="5" t="s">
        <v>26</v>
      </c>
      <c r="E184" s="5" t="s">
        <v>54</v>
      </c>
      <c r="F184" s="5" t="s">
        <v>28</v>
      </c>
      <c r="G184" s="5">
        <v>553484</v>
      </c>
    </row>
    <row r="185" spans="1:7" x14ac:dyDescent="0.3">
      <c r="A185" s="3" t="s">
        <v>67</v>
      </c>
      <c r="B185" s="5" t="s">
        <v>51</v>
      </c>
      <c r="C185" s="5" t="s">
        <v>50</v>
      </c>
      <c r="D185" s="5" t="s">
        <v>26</v>
      </c>
      <c r="E185" s="5" t="s">
        <v>37</v>
      </c>
      <c r="F185" s="5" t="s">
        <v>28</v>
      </c>
      <c r="G185" s="5">
        <v>29720</v>
      </c>
    </row>
    <row r="186" spans="1:7" x14ac:dyDescent="0.3">
      <c r="A186" s="3" t="s">
        <v>67</v>
      </c>
      <c r="B186" s="5" t="s">
        <v>51</v>
      </c>
      <c r="C186" s="5" t="s">
        <v>50</v>
      </c>
      <c r="D186" s="5" t="s">
        <v>26</v>
      </c>
      <c r="E186" s="5" t="s">
        <v>38</v>
      </c>
      <c r="F186" s="5" t="s">
        <v>28</v>
      </c>
      <c r="G186" s="5">
        <v>952463</v>
      </c>
    </row>
    <row r="187" spans="1:7" x14ac:dyDescent="0.3">
      <c r="A187" s="3" t="s">
        <v>67</v>
      </c>
      <c r="B187" s="5" t="s">
        <v>51</v>
      </c>
      <c r="C187" s="5" t="s">
        <v>50</v>
      </c>
      <c r="D187" s="5" t="s">
        <v>26</v>
      </c>
      <c r="E187" s="5" t="s">
        <v>39</v>
      </c>
      <c r="F187" s="5" t="s">
        <v>28</v>
      </c>
      <c r="G187" s="5">
        <v>595</v>
      </c>
    </row>
    <row r="188" spans="1:7" x14ac:dyDescent="0.3">
      <c r="A188" s="3" t="s">
        <v>67</v>
      </c>
      <c r="B188" s="5" t="s">
        <v>51</v>
      </c>
      <c r="C188" s="5" t="s">
        <v>50</v>
      </c>
      <c r="D188" s="5" t="s">
        <v>26</v>
      </c>
      <c r="E188" s="5" t="s">
        <v>40</v>
      </c>
      <c r="F188" s="5" t="s">
        <v>28</v>
      </c>
      <c r="G188" s="5">
        <v>64287</v>
      </c>
    </row>
    <row r="189" spans="1:7" x14ac:dyDescent="0.3">
      <c r="A189" s="3" t="s">
        <v>67</v>
      </c>
      <c r="B189" s="5" t="s">
        <v>51</v>
      </c>
      <c r="C189" s="5" t="s">
        <v>50</v>
      </c>
      <c r="D189" s="5" t="s">
        <v>26</v>
      </c>
      <c r="E189" s="5" t="s">
        <v>55</v>
      </c>
      <c r="F189" s="5" t="s">
        <v>28</v>
      </c>
      <c r="G189" s="5">
        <v>0</v>
      </c>
    </row>
    <row r="190" spans="1:7" x14ac:dyDescent="0.3">
      <c r="A190" s="3" t="s">
        <v>67</v>
      </c>
      <c r="B190" s="5" t="s">
        <v>51</v>
      </c>
      <c r="C190" s="5" t="s">
        <v>50</v>
      </c>
      <c r="D190" s="5" t="s">
        <v>26</v>
      </c>
      <c r="E190" s="5" t="s">
        <v>42</v>
      </c>
      <c r="F190" s="5" t="s">
        <v>28</v>
      </c>
      <c r="G190" s="5">
        <v>64882</v>
      </c>
    </row>
    <row r="191" spans="1:7" x14ac:dyDescent="0.3">
      <c r="A191" s="3" t="s">
        <v>68</v>
      </c>
      <c r="B191" s="5" t="s">
        <v>56</v>
      </c>
      <c r="C191" s="5" t="s">
        <v>8</v>
      </c>
      <c r="D191" s="5" t="s">
        <v>6</v>
      </c>
      <c r="E191" s="5" t="s">
        <v>44</v>
      </c>
      <c r="F191" s="5" t="s">
        <v>45</v>
      </c>
      <c r="G191" s="5">
        <v>1069599</v>
      </c>
    </row>
    <row r="192" spans="1:7" x14ac:dyDescent="0.3">
      <c r="A192" s="3" t="s">
        <v>68</v>
      </c>
      <c r="B192" s="5" t="s">
        <v>56</v>
      </c>
      <c r="C192" s="5" t="s">
        <v>8</v>
      </c>
      <c r="D192" s="5" t="s">
        <v>6</v>
      </c>
      <c r="E192" s="5" t="s">
        <v>46</v>
      </c>
      <c r="F192" s="5" t="s">
        <v>45</v>
      </c>
      <c r="G192" s="5">
        <v>2632986</v>
      </c>
    </row>
    <row r="193" spans="1:7" x14ac:dyDescent="0.3">
      <c r="A193" s="3" t="s">
        <v>68</v>
      </c>
      <c r="B193" s="5" t="s">
        <v>56</v>
      </c>
      <c r="C193" s="5" t="s">
        <v>8</v>
      </c>
      <c r="D193" s="5" t="s">
        <v>6</v>
      </c>
      <c r="E193" s="5" t="s">
        <v>57</v>
      </c>
      <c r="F193" s="5" t="s">
        <v>45</v>
      </c>
      <c r="G193" s="5">
        <v>0</v>
      </c>
    </row>
    <row r="194" spans="1:7" x14ac:dyDescent="0.3">
      <c r="A194" s="3" t="s">
        <v>68</v>
      </c>
      <c r="B194" s="5" t="s">
        <v>56</v>
      </c>
      <c r="C194" s="5" t="s">
        <v>8</v>
      </c>
      <c r="D194" s="5" t="s">
        <v>6</v>
      </c>
      <c r="E194" s="5" t="s">
        <v>47</v>
      </c>
      <c r="F194" s="5" t="s">
        <v>45</v>
      </c>
      <c r="G194" s="5">
        <v>3702585</v>
      </c>
    </row>
    <row r="195" spans="1:7" x14ac:dyDescent="0.3">
      <c r="A195" s="3" t="s">
        <v>68</v>
      </c>
      <c r="B195" s="5" t="s">
        <v>56</v>
      </c>
      <c r="C195" s="5" t="s">
        <v>8</v>
      </c>
      <c r="D195" s="5" t="s">
        <v>9</v>
      </c>
      <c r="E195" s="5" t="s">
        <v>48</v>
      </c>
      <c r="F195" s="5" t="s">
        <v>11</v>
      </c>
      <c r="G195" s="5">
        <v>0</v>
      </c>
    </row>
    <row r="196" spans="1:7" x14ac:dyDescent="0.3">
      <c r="A196" s="3" t="s">
        <v>68</v>
      </c>
      <c r="B196" s="5" t="s">
        <v>56</v>
      </c>
      <c r="C196" s="5" t="s">
        <v>8</v>
      </c>
      <c r="D196" s="5" t="s">
        <v>9</v>
      </c>
      <c r="E196" s="5" t="s">
        <v>49</v>
      </c>
      <c r="F196" s="5" t="s">
        <v>11</v>
      </c>
      <c r="G196" s="5">
        <v>1881457</v>
      </c>
    </row>
    <row r="197" spans="1:7" x14ac:dyDescent="0.3">
      <c r="A197" s="3" t="s">
        <v>68</v>
      </c>
      <c r="B197" s="5" t="s">
        <v>56</v>
      </c>
      <c r="C197" s="5" t="s">
        <v>8</v>
      </c>
      <c r="D197" s="5" t="s">
        <v>9</v>
      </c>
      <c r="E197" s="5" t="s">
        <v>10</v>
      </c>
      <c r="F197" s="5" t="s">
        <v>11</v>
      </c>
      <c r="G197" s="5">
        <v>857161</v>
      </c>
    </row>
    <row r="198" spans="1:7" x14ac:dyDescent="0.3">
      <c r="A198" s="3" t="s">
        <v>68</v>
      </c>
      <c r="B198" s="5" t="s">
        <v>56</v>
      </c>
      <c r="C198" s="5" t="s">
        <v>8</v>
      </c>
      <c r="D198" s="5" t="s">
        <v>9</v>
      </c>
      <c r="E198" s="5" t="s">
        <v>12</v>
      </c>
      <c r="F198" s="5" t="s">
        <v>11</v>
      </c>
      <c r="G198" s="5">
        <v>0</v>
      </c>
    </row>
    <row r="199" spans="1:7" x14ac:dyDescent="0.3">
      <c r="A199" s="3" t="s">
        <v>68</v>
      </c>
      <c r="B199" s="5" t="s">
        <v>56</v>
      </c>
      <c r="C199" s="5" t="s">
        <v>8</v>
      </c>
      <c r="D199" s="5" t="s">
        <v>9</v>
      </c>
      <c r="E199" s="5" t="s">
        <v>13</v>
      </c>
      <c r="F199" s="5" t="s">
        <v>11</v>
      </c>
      <c r="G199" s="5">
        <v>0</v>
      </c>
    </row>
    <row r="200" spans="1:7" x14ac:dyDescent="0.3">
      <c r="A200" s="3" t="s">
        <v>68</v>
      </c>
      <c r="B200" s="5" t="s">
        <v>56</v>
      </c>
      <c r="C200" s="5" t="s">
        <v>8</v>
      </c>
      <c r="D200" s="5" t="s">
        <v>9</v>
      </c>
      <c r="E200" s="5" t="s">
        <v>14</v>
      </c>
      <c r="F200" s="5" t="s">
        <v>11</v>
      </c>
      <c r="G200" s="5">
        <v>2738618</v>
      </c>
    </row>
    <row r="201" spans="1:7" x14ac:dyDescent="0.3">
      <c r="A201" s="3" t="s">
        <v>68</v>
      </c>
      <c r="B201" s="5" t="s">
        <v>56</v>
      </c>
      <c r="C201" s="5" t="s">
        <v>8</v>
      </c>
      <c r="D201" s="5" t="s">
        <v>9</v>
      </c>
      <c r="E201" s="5" t="s">
        <v>15</v>
      </c>
      <c r="F201" s="5" t="s">
        <v>11</v>
      </c>
      <c r="G201" s="5">
        <v>2679932</v>
      </c>
    </row>
    <row r="202" spans="1:7" x14ac:dyDescent="0.3">
      <c r="A202" s="3" t="s">
        <v>68</v>
      </c>
      <c r="B202" s="5" t="s">
        <v>56</v>
      </c>
      <c r="C202" s="5" t="s">
        <v>8</v>
      </c>
      <c r="D202" s="5" t="s">
        <v>16</v>
      </c>
      <c r="E202" s="5" t="s">
        <v>17</v>
      </c>
      <c r="F202" s="5" t="s">
        <v>52</v>
      </c>
      <c r="G202" s="5">
        <v>317</v>
      </c>
    </row>
    <row r="203" spans="1:7" x14ac:dyDescent="0.3">
      <c r="A203" s="3" t="s">
        <v>68</v>
      </c>
      <c r="B203" s="5" t="s">
        <v>56</v>
      </c>
      <c r="C203" s="5" t="s">
        <v>8</v>
      </c>
      <c r="D203" s="5" t="s">
        <v>16</v>
      </c>
      <c r="E203" s="5" t="s">
        <v>19</v>
      </c>
      <c r="F203" s="5" t="s">
        <v>52</v>
      </c>
      <c r="G203" s="5">
        <v>362</v>
      </c>
    </row>
    <row r="204" spans="1:7" x14ac:dyDescent="0.3">
      <c r="A204" s="3" t="s">
        <v>68</v>
      </c>
      <c r="B204" s="5" t="s">
        <v>56</v>
      </c>
      <c r="C204" s="5" t="s">
        <v>8</v>
      </c>
      <c r="D204" s="5" t="s">
        <v>16</v>
      </c>
      <c r="E204" s="5" t="s">
        <v>20</v>
      </c>
      <c r="F204" s="5" t="s">
        <v>58</v>
      </c>
      <c r="G204" s="5">
        <v>61</v>
      </c>
    </row>
    <row r="205" spans="1:7" x14ac:dyDescent="0.3">
      <c r="A205" s="3" t="s">
        <v>68</v>
      </c>
      <c r="B205" s="5" t="s">
        <v>56</v>
      </c>
      <c r="C205" s="5" t="s">
        <v>8</v>
      </c>
      <c r="D205" s="5" t="s">
        <v>21</v>
      </c>
      <c r="E205" s="5" t="s">
        <v>22</v>
      </c>
      <c r="F205" s="5" t="s">
        <v>23</v>
      </c>
      <c r="G205" s="5">
        <v>32056</v>
      </c>
    </row>
    <row r="206" spans="1:7" x14ac:dyDescent="0.3">
      <c r="A206" s="3" t="s">
        <v>68</v>
      </c>
      <c r="B206" s="5" t="s">
        <v>56</v>
      </c>
      <c r="C206" s="5" t="s">
        <v>8</v>
      </c>
      <c r="D206" s="5" t="s">
        <v>21</v>
      </c>
      <c r="E206" s="5" t="s">
        <v>24</v>
      </c>
      <c r="F206" s="5" t="s">
        <v>23</v>
      </c>
      <c r="G206" s="5">
        <v>54</v>
      </c>
    </row>
    <row r="207" spans="1:7" x14ac:dyDescent="0.3">
      <c r="A207" s="3" t="s">
        <v>68</v>
      </c>
      <c r="B207" s="5" t="s">
        <v>56</v>
      </c>
      <c r="C207" s="5" t="s">
        <v>8</v>
      </c>
      <c r="D207" s="5" t="s">
        <v>21</v>
      </c>
      <c r="E207" s="5" t="s">
        <v>25</v>
      </c>
      <c r="F207" s="5" t="s">
        <v>23</v>
      </c>
      <c r="G207" s="5">
        <v>32110</v>
      </c>
    </row>
    <row r="208" spans="1:7" x14ac:dyDescent="0.3">
      <c r="A208" s="3" t="s">
        <v>68</v>
      </c>
      <c r="B208" s="5" t="s">
        <v>56</v>
      </c>
      <c r="C208" s="5" t="s">
        <v>8</v>
      </c>
      <c r="D208" s="5" t="s">
        <v>26</v>
      </c>
      <c r="E208" s="5" t="s">
        <v>27</v>
      </c>
      <c r="F208" s="5" t="s">
        <v>28</v>
      </c>
      <c r="G208" s="5">
        <v>11451</v>
      </c>
    </row>
    <row r="209" spans="1:7" x14ac:dyDescent="0.3">
      <c r="A209" s="3" t="s">
        <v>68</v>
      </c>
      <c r="B209" s="5" t="s">
        <v>56</v>
      </c>
      <c r="C209" s="5" t="s">
        <v>8</v>
      </c>
      <c r="D209" s="5" t="s">
        <v>26</v>
      </c>
      <c r="E209" s="5" t="s">
        <v>29</v>
      </c>
      <c r="F209" s="5" t="s">
        <v>28</v>
      </c>
      <c r="G209" s="5">
        <v>97</v>
      </c>
    </row>
    <row r="210" spans="1:7" x14ac:dyDescent="0.3">
      <c r="A210" s="3" t="s">
        <v>68</v>
      </c>
      <c r="B210" s="5" t="s">
        <v>56</v>
      </c>
      <c r="C210" s="5" t="s">
        <v>8</v>
      </c>
      <c r="D210" s="5" t="s">
        <v>26</v>
      </c>
      <c r="E210" s="5" t="s">
        <v>30</v>
      </c>
      <c r="F210" s="5" t="s">
        <v>28</v>
      </c>
      <c r="G210" s="5">
        <v>14</v>
      </c>
    </row>
    <row r="211" spans="1:7" x14ac:dyDescent="0.3">
      <c r="A211" s="3" t="s">
        <v>68</v>
      </c>
      <c r="B211" s="5" t="s">
        <v>56</v>
      </c>
      <c r="C211" s="5" t="s">
        <v>8</v>
      </c>
      <c r="D211" s="5" t="s">
        <v>26</v>
      </c>
      <c r="E211" s="5" t="s">
        <v>53</v>
      </c>
      <c r="F211" s="5" t="s">
        <v>28</v>
      </c>
      <c r="G211" s="5">
        <v>2107</v>
      </c>
    </row>
    <row r="212" spans="1:7" x14ac:dyDescent="0.3">
      <c r="A212" s="3" t="s">
        <v>68</v>
      </c>
      <c r="B212" s="5" t="s">
        <v>56</v>
      </c>
      <c r="C212" s="5" t="s">
        <v>8</v>
      </c>
      <c r="D212" s="5" t="s">
        <v>26</v>
      </c>
      <c r="E212" s="5" t="s">
        <v>31</v>
      </c>
      <c r="F212" s="5" t="s">
        <v>28</v>
      </c>
      <c r="G212" s="5">
        <v>12</v>
      </c>
    </row>
    <row r="213" spans="1:7" x14ac:dyDescent="0.3">
      <c r="A213" s="3" t="s">
        <v>68</v>
      </c>
      <c r="B213" s="5" t="s">
        <v>56</v>
      </c>
      <c r="C213" s="5" t="s">
        <v>8</v>
      </c>
      <c r="D213" s="5" t="s">
        <v>26</v>
      </c>
      <c r="E213" s="5" t="s">
        <v>32</v>
      </c>
      <c r="F213" s="5" t="s">
        <v>28</v>
      </c>
      <c r="G213" s="5">
        <v>264</v>
      </c>
    </row>
    <row r="214" spans="1:7" x14ac:dyDescent="0.3">
      <c r="A214" s="3" t="s">
        <v>68</v>
      </c>
      <c r="B214" s="5" t="s">
        <v>56</v>
      </c>
      <c r="C214" s="5" t="s">
        <v>8</v>
      </c>
      <c r="D214" s="5" t="s">
        <v>26</v>
      </c>
      <c r="E214" s="5" t="s">
        <v>33</v>
      </c>
      <c r="F214" s="5" t="s">
        <v>28</v>
      </c>
      <c r="G214" s="5">
        <v>70976</v>
      </c>
    </row>
    <row r="215" spans="1:7" x14ac:dyDescent="0.3">
      <c r="A215" s="3" t="s">
        <v>68</v>
      </c>
      <c r="B215" s="5" t="s">
        <v>56</v>
      </c>
      <c r="C215" s="5" t="s">
        <v>8</v>
      </c>
      <c r="D215" s="5" t="s">
        <v>26</v>
      </c>
      <c r="E215" s="5" t="s">
        <v>34</v>
      </c>
      <c r="F215" s="5" t="s">
        <v>28</v>
      </c>
      <c r="G215" s="5">
        <v>84921</v>
      </c>
    </row>
    <row r="216" spans="1:7" x14ac:dyDescent="0.3">
      <c r="A216" s="3" t="s">
        <v>68</v>
      </c>
      <c r="B216" s="5" t="s">
        <v>56</v>
      </c>
      <c r="C216" s="5" t="s">
        <v>8</v>
      </c>
      <c r="D216" s="5" t="s">
        <v>26</v>
      </c>
      <c r="E216" s="5" t="s">
        <v>35</v>
      </c>
      <c r="F216" s="5" t="s">
        <v>28</v>
      </c>
      <c r="G216" s="5">
        <v>58441</v>
      </c>
    </row>
    <row r="217" spans="1:7" x14ac:dyDescent="0.3">
      <c r="A217" s="3" t="s">
        <v>68</v>
      </c>
      <c r="B217" s="5" t="s">
        <v>56</v>
      </c>
      <c r="C217" s="5" t="s">
        <v>8</v>
      </c>
      <c r="D217" s="5" t="s">
        <v>26</v>
      </c>
      <c r="E217" s="5" t="s">
        <v>54</v>
      </c>
      <c r="F217" s="5" t="s">
        <v>28</v>
      </c>
      <c r="G217" s="5">
        <v>25665</v>
      </c>
    </row>
    <row r="218" spans="1:7" x14ac:dyDescent="0.3">
      <c r="A218" s="3" t="s">
        <v>68</v>
      </c>
      <c r="B218" s="5" t="s">
        <v>56</v>
      </c>
      <c r="C218" s="5" t="s">
        <v>8</v>
      </c>
      <c r="D218" s="5" t="s">
        <v>26</v>
      </c>
      <c r="E218" s="5" t="s">
        <v>37</v>
      </c>
      <c r="F218" s="5" t="s">
        <v>28</v>
      </c>
      <c r="G218" s="5">
        <v>509</v>
      </c>
    </row>
    <row r="219" spans="1:7" x14ac:dyDescent="0.3">
      <c r="A219" s="3" t="s">
        <v>68</v>
      </c>
      <c r="B219" s="5" t="s">
        <v>56</v>
      </c>
      <c r="C219" s="5" t="s">
        <v>8</v>
      </c>
      <c r="D219" s="5" t="s">
        <v>26</v>
      </c>
      <c r="E219" s="5" t="s">
        <v>38</v>
      </c>
      <c r="F219" s="5" t="s">
        <v>28</v>
      </c>
      <c r="G219" s="5">
        <v>84615</v>
      </c>
    </row>
    <row r="220" spans="1:7" x14ac:dyDescent="0.3">
      <c r="A220" s="3" t="s">
        <v>68</v>
      </c>
      <c r="B220" s="5" t="s">
        <v>56</v>
      </c>
      <c r="C220" s="5" t="s">
        <v>8</v>
      </c>
      <c r="D220" s="5" t="s">
        <v>26</v>
      </c>
      <c r="E220" s="5" t="s">
        <v>39</v>
      </c>
      <c r="F220" s="5" t="s">
        <v>28</v>
      </c>
      <c r="G220" s="5">
        <v>173</v>
      </c>
    </row>
    <row r="221" spans="1:7" x14ac:dyDescent="0.3">
      <c r="A221" s="3" t="s">
        <v>68</v>
      </c>
      <c r="B221" s="5" t="s">
        <v>56</v>
      </c>
      <c r="C221" s="5" t="s">
        <v>8</v>
      </c>
      <c r="D221" s="5" t="s">
        <v>26</v>
      </c>
      <c r="E221" s="5" t="s">
        <v>40</v>
      </c>
      <c r="F221" s="5" t="s">
        <v>28</v>
      </c>
      <c r="G221" s="5">
        <v>133</v>
      </c>
    </row>
    <row r="222" spans="1:7" x14ac:dyDescent="0.3">
      <c r="A222" s="3" t="s">
        <v>68</v>
      </c>
      <c r="B222" s="5" t="s">
        <v>56</v>
      </c>
      <c r="C222" s="5" t="s">
        <v>8</v>
      </c>
      <c r="D222" s="5" t="s">
        <v>26</v>
      </c>
      <c r="E222" s="5" t="s">
        <v>55</v>
      </c>
      <c r="F222" s="5" t="s">
        <v>28</v>
      </c>
      <c r="G222" s="5">
        <v>0</v>
      </c>
    </row>
    <row r="223" spans="1:7" x14ac:dyDescent="0.3">
      <c r="A223" s="3" t="s">
        <v>68</v>
      </c>
      <c r="B223" s="5" t="s">
        <v>56</v>
      </c>
      <c r="C223" s="5" t="s">
        <v>8</v>
      </c>
      <c r="D223" s="5" t="s">
        <v>26</v>
      </c>
      <c r="E223" s="5" t="s">
        <v>42</v>
      </c>
      <c r="F223" s="5" t="s">
        <v>28</v>
      </c>
      <c r="G223" s="5">
        <v>306</v>
      </c>
    </row>
    <row r="224" spans="1:7" x14ac:dyDescent="0.3">
      <c r="A224" s="3" t="s">
        <v>68</v>
      </c>
      <c r="B224" s="5" t="s">
        <v>56</v>
      </c>
      <c r="C224" s="5" t="s">
        <v>43</v>
      </c>
      <c r="D224" s="5" t="s">
        <v>6</v>
      </c>
      <c r="E224" s="5" t="s">
        <v>44</v>
      </c>
      <c r="F224" s="5" t="s">
        <v>45</v>
      </c>
      <c r="G224" s="5">
        <v>1152640</v>
      </c>
    </row>
    <row r="225" spans="1:7" x14ac:dyDescent="0.3">
      <c r="A225" s="3" t="s">
        <v>68</v>
      </c>
      <c r="B225" s="5" t="s">
        <v>56</v>
      </c>
      <c r="C225" s="5" t="s">
        <v>43</v>
      </c>
      <c r="D225" s="5" t="s">
        <v>6</v>
      </c>
      <c r="E225" s="5" t="s">
        <v>46</v>
      </c>
      <c r="F225" s="5" t="s">
        <v>45</v>
      </c>
      <c r="G225" s="5">
        <v>2566732</v>
      </c>
    </row>
    <row r="226" spans="1:7" x14ac:dyDescent="0.3">
      <c r="A226" s="3" t="s">
        <v>68</v>
      </c>
      <c r="B226" s="5" t="s">
        <v>56</v>
      </c>
      <c r="C226" s="5" t="s">
        <v>43</v>
      </c>
      <c r="D226" s="5" t="s">
        <v>6</v>
      </c>
      <c r="E226" s="5" t="s">
        <v>57</v>
      </c>
      <c r="F226" s="5" t="s">
        <v>45</v>
      </c>
      <c r="G226" s="5">
        <v>0</v>
      </c>
    </row>
    <row r="227" spans="1:7" x14ac:dyDescent="0.3">
      <c r="A227" s="3" t="s">
        <v>68</v>
      </c>
      <c r="B227" s="5" t="s">
        <v>56</v>
      </c>
      <c r="C227" s="5" t="s">
        <v>43</v>
      </c>
      <c r="D227" s="5" t="s">
        <v>6</v>
      </c>
      <c r="E227" s="5" t="s">
        <v>47</v>
      </c>
      <c r="F227" s="5" t="s">
        <v>45</v>
      </c>
      <c r="G227" s="5">
        <v>3719372</v>
      </c>
    </row>
    <row r="228" spans="1:7" x14ac:dyDescent="0.3">
      <c r="A228" s="3" t="s">
        <v>68</v>
      </c>
      <c r="B228" s="5" t="s">
        <v>56</v>
      </c>
      <c r="C228" s="5" t="s">
        <v>43</v>
      </c>
      <c r="D228" s="5" t="s">
        <v>9</v>
      </c>
      <c r="E228" s="5" t="s">
        <v>48</v>
      </c>
      <c r="F228" s="5" t="s">
        <v>11</v>
      </c>
      <c r="G228" s="5">
        <v>0</v>
      </c>
    </row>
    <row r="229" spans="1:7" x14ac:dyDescent="0.3">
      <c r="A229" s="3" t="s">
        <v>68</v>
      </c>
      <c r="B229" s="5" t="s">
        <v>56</v>
      </c>
      <c r="C229" s="5" t="s">
        <v>43</v>
      </c>
      <c r="D229" s="5" t="s">
        <v>9</v>
      </c>
      <c r="E229" s="5" t="s">
        <v>49</v>
      </c>
      <c r="F229" s="5" t="s">
        <v>11</v>
      </c>
      <c r="G229" s="5">
        <v>1921329</v>
      </c>
    </row>
    <row r="230" spans="1:7" x14ac:dyDescent="0.3">
      <c r="A230" s="3" t="s">
        <v>68</v>
      </c>
      <c r="B230" s="5" t="s">
        <v>56</v>
      </c>
      <c r="C230" s="5" t="s">
        <v>43</v>
      </c>
      <c r="D230" s="5" t="s">
        <v>9</v>
      </c>
      <c r="E230" s="5" t="s">
        <v>10</v>
      </c>
      <c r="F230" s="5" t="s">
        <v>11</v>
      </c>
      <c r="G230" s="5">
        <v>926494</v>
      </c>
    </row>
    <row r="231" spans="1:7" x14ac:dyDescent="0.3">
      <c r="A231" s="3" t="s">
        <v>68</v>
      </c>
      <c r="B231" s="5" t="s">
        <v>56</v>
      </c>
      <c r="C231" s="5" t="s">
        <v>43</v>
      </c>
      <c r="D231" s="5" t="s">
        <v>9</v>
      </c>
      <c r="E231" s="5" t="s">
        <v>12</v>
      </c>
      <c r="F231" s="5" t="s">
        <v>11</v>
      </c>
      <c r="G231" s="5">
        <v>0</v>
      </c>
    </row>
    <row r="232" spans="1:7" x14ac:dyDescent="0.3">
      <c r="A232" s="3" t="s">
        <v>68</v>
      </c>
      <c r="B232" s="5" t="s">
        <v>56</v>
      </c>
      <c r="C232" s="5" t="s">
        <v>43</v>
      </c>
      <c r="D232" s="5" t="s">
        <v>9</v>
      </c>
      <c r="E232" s="5" t="s">
        <v>13</v>
      </c>
      <c r="F232" s="5" t="s">
        <v>11</v>
      </c>
      <c r="G232" s="5">
        <v>0</v>
      </c>
    </row>
    <row r="233" spans="1:7" x14ac:dyDescent="0.3">
      <c r="A233" s="3" t="s">
        <v>68</v>
      </c>
      <c r="B233" s="5" t="s">
        <v>56</v>
      </c>
      <c r="C233" s="5" t="s">
        <v>43</v>
      </c>
      <c r="D233" s="5" t="s">
        <v>9</v>
      </c>
      <c r="E233" s="5" t="s">
        <v>14</v>
      </c>
      <c r="F233" s="5" t="s">
        <v>11</v>
      </c>
      <c r="G233" s="5">
        <v>2847823</v>
      </c>
    </row>
    <row r="234" spans="1:7" x14ac:dyDescent="0.3">
      <c r="A234" s="3" t="s">
        <v>68</v>
      </c>
      <c r="B234" s="5" t="s">
        <v>56</v>
      </c>
      <c r="C234" s="5" t="s">
        <v>43</v>
      </c>
      <c r="D234" s="5" t="s">
        <v>9</v>
      </c>
      <c r="E234" s="5" t="s">
        <v>15</v>
      </c>
      <c r="F234" s="5" t="s">
        <v>11</v>
      </c>
      <c r="G234" s="5">
        <v>2795743</v>
      </c>
    </row>
    <row r="235" spans="1:7" x14ac:dyDescent="0.3">
      <c r="A235" s="3" t="s">
        <v>68</v>
      </c>
      <c r="B235" s="5" t="s">
        <v>56</v>
      </c>
      <c r="C235" s="5" t="s">
        <v>43</v>
      </c>
      <c r="D235" s="5" t="s">
        <v>16</v>
      </c>
      <c r="E235" s="5" t="s">
        <v>17</v>
      </c>
      <c r="F235" s="5" t="s">
        <v>52</v>
      </c>
      <c r="G235" s="5">
        <v>315</v>
      </c>
    </row>
    <row r="236" spans="1:7" x14ac:dyDescent="0.3">
      <c r="A236" s="3" t="s">
        <v>68</v>
      </c>
      <c r="B236" s="5" t="s">
        <v>56</v>
      </c>
      <c r="C236" s="5" t="s">
        <v>43</v>
      </c>
      <c r="D236" s="5" t="s">
        <v>16</v>
      </c>
      <c r="E236" s="5" t="s">
        <v>19</v>
      </c>
      <c r="F236" s="5" t="s">
        <v>52</v>
      </c>
      <c r="G236" s="5">
        <v>225</v>
      </c>
    </row>
    <row r="237" spans="1:7" x14ac:dyDescent="0.3">
      <c r="A237" s="3" t="s">
        <v>68</v>
      </c>
      <c r="B237" s="5" t="s">
        <v>56</v>
      </c>
      <c r="C237" s="5" t="s">
        <v>43</v>
      </c>
      <c r="D237" s="5" t="s">
        <v>16</v>
      </c>
      <c r="E237" s="5" t="s">
        <v>20</v>
      </c>
      <c r="F237" s="5" t="s">
        <v>58</v>
      </c>
      <c r="G237" s="5">
        <v>55</v>
      </c>
    </row>
    <row r="238" spans="1:7" x14ac:dyDescent="0.3">
      <c r="A238" s="3" t="s">
        <v>68</v>
      </c>
      <c r="B238" s="5" t="s">
        <v>56</v>
      </c>
      <c r="C238" s="5" t="s">
        <v>43</v>
      </c>
      <c r="D238" s="5" t="s">
        <v>21</v>
      </c>
      <c r="E238" s="5" t="s">
        <v>22</v>
      </c>
      <c r="F238" s="5" t="s">
        <v>23</v>
      </c>
      <c r="G238" s="5">
        <v>20165</v>
      </c>
    </row>
    <row r="239" spans="1:7" x14ac:dyDescent="0.3">
      <c r="A239" s="3" t="s">
        <v>68</v>
      </c>
      <c r="B239" s="5" t="s">
        <v>56</v>
      </c>
      <c r="C239" s="5" t="s">
        <v>43</v>
      </c>
      <c r="D239" s="5" t="s">
        <v>21</v>
      </c>
      <c r="E239" s="5" t="s">
        <v>24</v>
      </c>
      <c r="F239" s="5" t="s">
        <v>23</v>
      </c>
      <c r="G239" s="5">
        <v>0</v>
      </c>
    </row>
    <row r="240" spans="1:7" x14ac:dyDescent="0.3">
      <c r="A240" s="3" t="s">
        <v>68</v>
      </c>
      <c r="B240" s="5" t="s">
        <v>56</v>
      </c>
      <c r="C240" s="5" t="s">
        <v>43</v>
      </c>
      <c r="D240" s="5" t="s">
        <v>21</v>
      </c>
      <c r="E240" s="5" t="s">
        <v>25</v>
      </c>
      <c r="F240" s="5" t="s">
        <v>23</v>
      </c>
      <c r="G240" s="5">
        <v>20165</v>
      </c>
    </row>
    <row r="241" spans="1:7" x14ac:dyDescent="0.3">
      <c r="A241" s="3" t="s">
        <v>68</v>
      </c>
      <c r="B241" s="5" t="s">
        <v>56</v>
      </c>
      <c r="C241" s="5" t="s">
        <v>43</v>
      </c>
      <c r="D241" s="5" t="s">
        <v>26</v>
      </c>
      <c r="E241" s="5" t="s">
        <v>27</v>
      </c>
      <c r="F241" s="5" t="s">
        <v>28</v>
      </c>
      <c r="G241" s="5">
        <v>12055</v>
      </c>
    </row>
    <row r="242" spans="1:7" x14ac:dyDescent="0.3">
      <c r="A242" s="3" t="s">
        <v>68</v>
      </c>
      <c r="B242" s="5" t="s">
        <v>56</v>
      </c>
      <c r="C242" s="5" t="s">
        <v>43</v>
      </c>
      <c r="D242" s="5" t="s">
        <v>26</v>
      </c>
      <c r="E242" s="5" t="s">
        <v>29</v>
      </c>
      <c r="F242" s="5" t="s">
        <v>28</v>
      </c>
      <c r="G242" s="5">
        <v>93</v>
      </c>
    </row>
    <row r="243" spans="1:7" x14ac:dyDescent="0.3">
      <c r="A243" s="3" t="s">
        <v>68</v>
      </c>
      <c r="B243" s="5" t="s">
        <v>56</v>
      </c>
      <c r="C243" s="5" t="s">
        <v>43</v>
      </c>
      <c r="D243" s="5" t="s">
        <v>26</v>
      </c>
      <c r="E243" s="5" t="s">
        <v>30</v>
      </c>
      <c r="F243" s="5" t="s">
        <v>28</v>
      </c>
      <c r="G243" s="5">
        <v>18</v>
      </c>
    </row>
    <row r="244" spans="1:7" x14ac:dyDescent="0.3">
      <c r="A244" s="3" t="s">
        <v>68</v>
      </c>
      <c r="B244" s="5" t="s">
        <v>56</v>
      </c>
      <c r="C244" s="5" t="s">
        <v>43</v>
      </c>
      <c r="D244" s="5" t="s">
        <v>26</v>
      </c>
      <c r="E244" s="5" t="s">
        <v>53</v>
      </c>
      <c r="F244" s="5" t="s">
        <v>28</v>
      </c>
      <c r="G244" s="5">
        <v>5086</v>
      </c>
    </row>
    <row r="245" spans="1:7" x14ac:dyDescent="0.3">
      <c r="A245" s="3" t="s">
        <v>68</v>
      </c>
      <c r="B245" s="5" t="s">
        <v>56</v>
      </c>
      <c r="C245" s="5" t="s">
        <v>43</v>
      </c>
      <c r="D245" s="5" t="s">
        <v>26</v>
      </c>
      <c r="E245" s="5" t="s">
        <v>31</v>
      </c>
      <c r="F245" s="5" t="s">
        <v>28</v>
      </c>
      <c r="G245" s="5">
        <v>53</v>
      </c>
    </row>
    <row r="246" spans="1:7" x14ac:dyDescent="0.3">
      <c r="A246" s="3" t="s">
        <v>68</v>
      </c>
      <c r="B246" s="5" t="s">
        <v>56</v>
      </c>
      <c r="C246" s="5" t="s">
        <v>43</v>
      </c>
      <c r="D246" s="5" t="s">
        <v>26</v>
      </c>
      <c r="E246" s="5" t="s">
        <v>32</v>
      </c>
      <c r="F246" s="5" t="s">
        <v>28</v>
      </c>
      <c r="G246" s="5">
        <v>383</v>
      </c>
    </row>
    <row r="247" spans="1:7" x14ac:dyDescent="0.3">
      <c r="A247" s="3" t="s">
        <v>68</v>
      </c>
      <c r="B247" s="5" t="s">
        <v>56</v>
      </c>
      <c r="C247" s="5" t="s">
        <v>43</v>
      </c>
      <c r="D247" s="5" t="s">
        <v>26</v>
      </c>
      <c r="E247" s="5" t="s">
        <v>33</v>
      </c>
      <c r="F247" s="5" t="s">
        <v>28</v>
      </c>
      <c r="G247" s="5">
        <v>72880</v>
      </c>
    </row>
    <row r="248" spans="1:7" x14ac:dyDescent="0.3">
      <c r="A248" s="3" t="s">
        <v>68</v>
      </c>
      <c r="B248" s="5" t="s">
        <v>56</v>
      </c>
      <c r="C248" s="5" t="s">
        <v>43</v>
      </c>
      <c r="D248" s="5" t="s">
        <v>26</v>
      </c>
      <c r="E248" s="5" t="s">
        <v>34</v>
      </c>
      <c r="F248" s="5" t="s">
        <v>28</v>
      </c>
      <c r="G248" s="5">
        <v>90568</v>
      </c>
    </row>
    <row r="249" spans="1:7" x14ac:dyDescent="0.3">
      <c r="A249" s="3" t="s">
        <v>68</v>
      </c>
      <c r="B249" s="5" t="s">
        <v>56</v>
      </c>
      <c r="C249" s="5" t="s">
        <v>43</v>
      </c>
      <c r="D249" s="5" t="s">
        <v>26</v>
      </c>
      <c r="E249" s="5" t="s">
        <v>35</v>
      </c>
      <c r="F249" s="5" t="s">
        <v>28</v>
      </c>
      <c r="G249" s="5">
        <v>65658</v>
      </c>
    </row>
    <row r="250" spans="1:7" x14ac:dyDescent="0.3">
      <c r="A250" s="3" t="s">
        <v>68</v>
      </c>
      <c r="B250" s="5" t="s">
        <v>56</v>
      </c>
      <c r="C250" s="5" t="s">
        <v>43</v>
      </c>
      <c r="D250" s="5" t="s">
        <v>26</v>
      </c>
      <c r="E250" s="5" t="s">
        <v>54</v>
      </c>
      <c r="F250" s="5" t="s">
        <v>28</v>
      </c>
      <c r="G250" s="5">
        <v>24181</v>
      </c>
    </row>
    <row r="251" spans="1:7" x14ac:dyDescent="0.3">
      <c r="A251" s="3" t="s">
        <v>68</v>
      </c>
      <c r="B251" s="5" t="s">
        <v>56</v>
      </c>
      <c r="C251" s="5" t="s">
        <v>43</v>
      </c>
      <c r="D251" s="5" t="s">
        <v>26</v>
      </c>
      <c r="E251" s="5" t="s">
        <v>37</v>
      </c>
      <c r="F251" s="5" t="s">
        <v>28</v>
      </c>
      <c r="G251" s="5">
        <v>293</v>
      </c>
    </row>
    <row r="252" spans="1:7" x14ac:dyDescent="0.3">
      <c r="A252" s="3" t="s">
        <v>68</v>
      </c>
      <c r="B252" s="5" t="s">
        <v>56</v>
      </c>
      <c r="C252" s="5" t="s">
        <v>43</v>
      </c>
      <c r="D252" s="5" t="s">
        <v>26</v>
      </c>
      <c r="E252" s="5" t="s">
        <v>38</v>
      </c>
      <c r="F252" s="5" t="s">
        <v>28</v>
      </c>
      <c r="G252" s="5">
        <v>90132</v>
      </c>
    </row>
    <row r="253" spans="1:7" x14ac:dyDescent="0.3">
      <c r="A253" s="3" t="s">
        <v>68</v>
      </c>
      <c r="B253" s="5" t="s">
        <v>56</v>
      </c>
      <c r="C253" s="5" t="s">
        <v>43</v>
      </c>
      <c r="D253" s="5" t="s">
        <v>26</v>
      </c>
      <c r="E253" s="5" t="s">
        <v>39</v>
      </c>
      <c r="F253" s="5" t="s">
        <v>28</v>
      </c>
      <c r="G253" s="5">
        <v>279</v>
      </c>
    </row>
    <row r="254" spans="1:7" x14ac:dyDescent="0.3">
      <c r="A254" s="3" t="s">
        <v>68</v>
      </c>
      <c r="B254" s="5" t="s">
        <v>56</v>
      </c>
      <c r="C254" s="5" t="s">
        <v>43</v>
      </c>
      <c r="D254" s="5" t="s">
        <v>26</v>
      </c>
      <c r="E254" s="5" t="s">
        <v>40</v>
      </c>
      <c r="F254" s="5" t="s">
        <v>28</v>
      </c>
      <c r="G254" s="5">
        <v>157</v>
      </c>
    </row>
    <row r="255" spans="1:7" x14ac:dyDescent="0.3">
      <c r="A255" s="3" t="s">
        <v>68</v>
      </c>
      <c r="B255" s="5" t="s">
        <v>56</v>
      </c>
      <c r="C255" s="5" t="s">
        <v>43</v>
      </c>
      <c r="D255" s="5" t="s">
        <v>26</v>
      </c>
      <c r="E255" s="5" t="s">
        <v>55</v>
      </c>
      <c r="F255" s="5" t="s">
        <v>28</v>
      </c>
      <c r="G255" s="5">
        <v>0</v>
      </c>
    </row>
    <row r="256" spans="1:7" x14ac:dyDescent="0.3">
      <c r="A256" s="3" t="s">
        <v>68</v>
      </c>
      <c r="B256" s="5" t="s">
        <v>56</v>
      </c>
      <c r="C256" s="5" t="s">
        <v>43</v>
      </c>
      <c r="D256" s="5" t="s">
        <v>26</v>
      </c>
      <c r="E256" s="5" t="s">
        <v>42</v>
      </c>
      <c r="F256" s="5" t="s">
        <v>28</v>
      </c>
      <c r="G256" s="5">
        <v>436</v>
      </c>
    </row>
    <row r="257" spans="1:7" x14ac:dyDescent="0.3">
      <c r="A257" s="3" t="s">
        <v>68</v>
      </c>
      <c r="B257" s="5" t="s">
        <v>56</v>
      </c>
      <c r="C257" s="5" t="s">
        <v>50</v>
      </c>
      <c r="D257" s="5" t="s">
        <v>6</v>
      </c>
      <c r="E257" s="5" t="s">
        <v>44</v>
      </c>
      <c r="F257" s="5" t="s">
        <v>45</v>
      </c>
      <c r="G257" s="5">
        <v>1186957</v>
      </c>
    </row>
    <row r="258" spans="1:7" x14ac:dyDescent="0.3">
      <c r="A258" s="3" t="s">
        <v>68</v>
      </c>
      <c r="B258" s="5" t="s">
        <v>56</v>
      </c>
      <c r="C258" s="5" t="s">
        <v>50</v>
      </c>
      <c r="D258" s="5" t="s">
        <v>6</v>
      </c>
      <c r="E258" s="5" t="s">
        <v>46</v>
      </c>
      <c r="F258" s="5" t="s">
        <v>45</v>
      </c>
      <c r="G258" s="5">
        <v>2538627</v>
      </c>
    </row>
    <row r="259" spans="1:7" x14ac:dyDescent="0.3">
      <c r="A259" s="3" t="s">
        <v>68</v>
      </c>
      <c r="B259" s="5" t="s">
        <v>56</v>
      </c>
      <c r="C259" s="5" t="s">
        <v>50</v>
      </c>
      <c r="D259" s="5" t="s">
        <v>6</v>
      </c>
      <c r="E259" s="5" t="s">
        <v>57</v>
      </c>
      <c r="F259" s="5" t="s">
        <v>45</v>
      </c>
      <c r="G259" s="5">
        <v>1019</v>
      </c>
    </row>
    <row r="260" spans="1:7" x14ac:dyDescent="0.3">
      <c r="A260" s="3" t="s">
        <v>68</v>
      </c>
      <c r="B260" s="5" t="s">
        <v>56</v>
      </c>
      <c r="C260" s="5" t="s">
        <v>50</v>
      </c>
      <c r="D260" s="5" t="s">
        <v>6</v>
      </c>
      <c r="E260" s="5" t="s">
        <v>47</v>
      </c>
      <c r="F260" s="5" t="s">
        <v>45</v>
      </c>
      <c r="G260" s="5">
        <v>3726603</v>
      </c>
    </row>
    <row r="261" spans="1:7" x14ac:dyDescent="0.3">
      <c r="A261" s="3" t="s">
        <v>68</v>
      </c>
      <c r="B261" s="5" t="s">
        <v>56</v>
      </c>
      <c r="C261" s="5" t="s">
        <v>50</v>
      </c>
      <c r="D261" s="5" t="s">
        <v>9</v>
      </c>
      <c r="E261" s="5" t="s">
        <v>48</v>
      </c>
      <c r="F261" s="5" t="s">
        <v>11</v>
      </c>
      <c r="G261" s="5">
        <v>0</v>
      </c>
    </row>
    <row r="262" spans="1:7" x14ac:dyDescent="0.3">
      <c r="A262" s="3" t="s">
        <v>68</v>
      </c>
      <c r="B262" s="5" t="s">
        <v>56</v>
      </c>
      <c r="C262" s="5" t="s">
        <v>50</v>
      </c>
      <c r="D262" s="5" t="s">
        <v>9</v>
      </c>
      <c r="E262" s="5" t="s">
        <v>49</v>
      </c>
      <c r="F262" s="5" t="s">
        <v>11</v>
      </c>
      <c r="G262" s="5">
        <v>2163447</v>
      </c>
    </row>
    <row r="263" spans="1:7" x14ac:dyDescent="0.3">
      <c r="A263" s="3" t="s">
        <v>68</v>
      </c>
      <c r="B263" s="5" t="s">
        <v>56</v>
      </c>
      <c r="C263" s="5" t="s">
        <v>50</v>
      </c>
      <c r="D263" s="5" t="s">
        <v>9</v>
      </c>
      <c r="E263" s="5" t="s">
        <v>10</v>
      </c>
      <c r="F263" s="5" t="s">
        <v>11</v>
      </c>
      <c r="G263" s="5">
        <v>814723</v>
      </c>
    </row>
    <row r="264" spans="1:7" x14ac:dyDescent="0.3">
      <c r="A264" s="3" t="s">
        <v>68</v>
      </c>
      <c r="B264" s="5" t="s">
        <v>56</v>
      </c>
      <c r="C264" s="5" t="s">
        <v>50</v>
      </c>
      <c r="D264" s="5" t="s">
        <v>9</v>
      </c>
      <c r="E264" s="5" t="s">
        <v>12</v>
      </c>
      <c r="F264" s="5" t="s">
        <v>11</v>
      </c>
      <c r="G264" s="5">
        <v>0</v>
      </c>
    </row>
    <row r="265" spans="1:7" x14ac:dyDescent="0.3">
      <c r="A265" s="3" t="s">
        <v>68</v>
      </c>
      <c r="B265" s="5" t="s">
        <v>56</v>
      </c>
      <c r="C265" s="5" t="s">
        <v>50</v>
      </c>
      <c r="D265" s="5" t="s">
        <v>9</v>
      </c>
      <c r="E265" s="5" t="s">
        <v>13</v>
      </c>
      <c r="F265" s="5" t="s">
        <v>11</v>
      </c>
      <c r="G265" s="5">
        <v>52486</v>
      </c>
    </row>
    <row r="266" spans="1:7" x14ac:dyDescent="0.3">
      <c r="A266" s="3" t="s">
        <v>68</v>
      </c>
      <c r="B266" s="5" t="s">
        <v>56</v>
      </c>
      <c r="C266" s="5" t="s">
        <v>50</v>
      </c>
      <c r="D266" s="5" t="s">
        <v>9</v>
      </c>
      <c r="E266" s="5" t="s">
        <v>14</v>
      </c>
      <c r="F266" s="5" t="s">
        <v>11</v>
      </c>
      <c r="G266" s="5">
        <v>3030656</v>
      </c>
    </row>
    <row r="267" spans="1:7" x14ac:dyDescent="0.3">
      <c r="A267" s="3" t="s">
        <v>68</v>
      </c>
      <c r="B267" s="5" t="s">
        <v>56</v>
      </c>
      <c r="C267" s="5" t="s">
        <v>50</v>
      </c>
      <c r="D267" s="5" t="s">
        <v>9</v>
      </c>
      <c r="E267" s="5" t="s">
        <v>15</v>
      </c>
      <c r="F267" s="5" t="s">
        <v>11</v>
      </c>
      <c r="G267" s="5">
        <v>2969699</v>
      </c>
    </row>
    <row r="268" spans="1:7" x14ac:dyDescent="0.3">
      <c r="A268" s="3" t="s">
        <v>68</v>
      </c>
      <c r="B268" s="5" t="s">
        <v>56</v>
      </c>
      <c r="C268" s="5" t="s">
        <v>50</v>
      </c>
      <c r="D268" s="5" t="s">
        <v>16</v>
      </c>
      <c r="E268" s="5" t="s">
        <v>17</v>
      </c>
      <c r="F268" s="5" t="s">
        <v>52</v>
      </c>
      <c r="G268" s="5">
        <v>312</v>
      </c>
    </row>
    <row r="269" spans="1:7" x14ac:dyDescent="0.3">
      <c r="A269" s="3" t="s">
        <v>68</v>
      </c>
      <c r="B269" s="5" t="s">
        <v>56</v>
      </c>
      <c r="C269" s="5" t="s">
        <v>50</v>
      </c>
      <c r="D269" s="5" t="s">
        <v>16</v>
      </c>
      <c r="E269" s="5" t="s">
        <v>19</v>
      </c>
      <c r="F269" s="5" t="s">
        <v>52</v>
      </c>
      <c r="G269" s="5">
        <v>161</v>
      </c>
    </row>
    <row r="270" spans="1:7" x14ac:dyDescent="0.3">
      <c r="A270" s="3" t="s">
        <v>68</v>
      </c>
      <c r="B270" s="5" t="s">
        <v>56</v>
      </c>
      <c r="C270" s="5" t="s">
        <v>50</v>
      </c>
      <c r="D270" s="5" t="s">
        <v>16</v>
      </c>
      <c r="E270" s="5" t="s">
        <v>20</v>
      </c>
      <c r="F270" s="5" t="s">
        <v>58</v>
      </c>
      <c r="G270" s="5">
        <v>51</v>
      </c>
    </row>
    <row r="271" spans="1:7" x14ac:dyDescent="0.3">
      <c r="A271" s="3" t="s">
        <v>68</v>
      </c>
      <c r="B271" s="5" t="s">
        <v>56</v>
      </c>
      <c r="C271" s="5" t="s">
        <v>50</v>
      </c>
      <c r="D271" s="5" t="s">
        <v>21</v>
      </c>
      <c r="E271" s="5" t="s">
        <v>22</v>
      </c>
      <c r="F271" s="5" t="s">
        <v>23</v>
      </c>
      <c r="G271" s="5">
        <v>14622</v>
      </c>
    </row>
    <row r="272" spans="1:7" x14ac:dyDescent="0.3">
      <c r="A272" s="3" t="s">
        <v>68</v>
      </c>
      <c r="B272" s="5" t="s">
        <v>56</v>
      </c>
      <c r="C272" s="5" t="s">
        <v>50</v>
      </c>
      <c r="D272" s="5" t="s">
        <v>21</v>
      </c>
      <c r="E272" s="5" t="s">
        <v>24</v>
      </c>
      <c r="F272" s="5" t="s">
        <v>23</v>
      </c>
      <c r="G272" s="5">
        <v>96</v>
      </c>
    </row>
    <row r="273" spans="1:7" x14ac:dyDescent="0.3">
      <c r="A273" s="3" t="s">
        <v>68</v>
      </c>
      <c r="B273" s="5" t="s">
        <v>56</v>
      </c>
      <c r="C273" s="5" t="s">
        <v>50</v>
      </c>
      <c r="D273" s="5" t="s">
        <v>21</v>
      </c>
      <c r="E273" s="5" t="s">
        <v>25</v>
      </c>
      <c r="F273" s="5" t="s">
        <v>23</v>
      </c>
      <c r="G273" s="5">
        <v>14718</v>
      </c>
    </row>
    <row r="274" spans="1:7" x14ac:dyDescent="0.3">
      <c r="A274" s="3" t="s">
        <v>68</v>
      </c>
      <c r="B274" s="5" t="s">
        <v>56</v>
      </c>
      <c r="C274" s="5" t="s">
        <v>50</v>
      </c>
      <c r="D274" s="5" t="s">
        <v>26</v>
      </c>
      <c r="E274" s="5" t="s">
        <v>27</v>
      </c>
      <c r="F274" s="5" t="s">
        <v>28</v>
      </c>
      <c r="G274" s="5">
        <v>12105</v>
      </c>
    </row>
    <row r="275" spans="1:7" x14ac:dyDescent="0.3">
      <c r="A275" s="3" t="s">
        <v>68</v>
      </c>
      <c r="B275" s="5" t="s">
        <v>56</v>
      </c>
      <c r="C275" s="5" t="s">
        <v>50</v>
      </c>
      <c r="D275" s="5" t="s">
        <v>26</v>
      </c>
      <c r="E275" s="5" t="s">
        <v>29</v>
      </c>
      <c r="F275" s="5" t="s">
        <v>28</v>
      </c>
      <c r="G275" s="5">
        <v>62</v>
      </c>
    </row>
    <row r="276" spans="1:7" x14ac:dyDescent="0.3">
      <c r="A276" s="3" t="s">
        <v>68</v>
      </c>
      <c r="B276" s="5" t="s">
        <v>56</v>
      </c>
      <c r="C276" s="5" t="s">
        <v>50</v>
      </c>
      <c r="D276" s="5" t="s">
        <v>26</v>
      </c>
      <c r="E276" s="5" t="s">
        <v>30</v>
      </c>
      <c r="F276" s="5" t="s">
        <v>28</v>
      </c>
      <c r="G276" s="5">
        <v>12</v>
      </c>
    </row>
    <row r="277" spans="1:7" x14ac:dyDescent="0.3">
      <c r="A277" s="3" t="s">
        <v>68</v>
      </c>
      <c r="B277" s="5" t="s">
        <v>56</v>
      </c>
      <c r="C277" s="5" t="s">
        <v>50</v>
      </c>
      <c r="D277" s="5" t="s">
        <v>26</v>
      </c>
      <c r="E277" s="5" t="s">
        <v>53</v>
      </c>
      <c r="F277" s="5" t="s">
        <v>28</v>
      </c>
      <c r="G277" s="5">
        <v>7800</v>
      </c>
    </row>
    <row r="278" spans="1:7" x14ac:dyDescent="0.3">
      <c r="A278" s="3" t="s">
        <v>68</v>
      </c>
      <c r="B278" s="5" t="s">
        <v>56</v>
      </c>
      <c r="C278" s="5" t="s">
        <v>50</v>
      </c>
      <c r="D278" s="5" t="s">
        <v>26</v>
      </c>
      <c r="E278" s="5" t="s">
        <v>31</v>
      </c>
      <c r="F278" s="5" t="s">
        <v>28</v>
      </c>
      <c r="G278" s="5">
        <v>53</v>
      </c>
    </row>
    <row r="279" spans="1:7" x14ac:dyDescent="0.3">
      <c r="A279" s="3" t="s">
        <v>68</v>
      </c>
      <c r="B279" s="5" t="s">
        <v>56</v>
      </c>
      <c r="C279" s="5" t="s">
        <v>50</v>
      </c>
      <c r="D279" s="5" t="s">
        <v>26</v>
      </c>
      <c r="E279" s="5" t="s">
        <v>32</v>
      </c>
      <c r="F279" s="5" t="s">
        <v>28</v>
      </c>
      <c r="G279" s="5">
        <v>437</v>
      </c>
    </row>
    <row r="280" spans="1:7" x14ac:dyDescent="0.3">
      <c r="A280" s="3" t="s">
        <v>68</v>
      </c>
      <c r="B280" s="5" t="s">
        <v>56</v>
      </c>
      <c r="C280" s="5" t="s">
        <v>50</v>
      </c>
      <c r="D280" s="5" t="s">
        <v>26</v>
      </c>
      <c r="E280" s="5" t="s">
        <v>33</v>
      </c>
      <c r="F280" s="5" t="s">
        <v>28</v>
      </c>
      <c r="G280" s="5">
        <v>82653</v>
      </c>
    </row>
    <row r="281" spans="1:7" x14ac:dyDescent="0.3">
      <c r="A281" s="3" t="s">
        <v>68</v>
      </c>
      <c r="B281" s="5" t="s">
        <v>56</v>
      </c>
      <c r="C281" s="5" t="s">
        <v>50</v>
      </c>
      <c r="D281" s="5" t="s">
        <v>26</v>
      </c>
      <c r="E281" s="5" t="s">
        <v>34</v>
      </c>
      <c r="F281" s="5" t="s">
        <v>28</v>
      </c>
      <c r="G281" s="5">
        <v>103122</v>
      </c>
    </row>
    <row r="282" spans="1:7" x14ac:dyDescent="0.3">
      <c r="A282" s="3" t="s">
        <v>68</v>
      </c>
      <c r="B282" s="5" t="s">
        <v>56</v>
      </c>
      <c r="C282" s="5" t="s">
        <v>50</v>
      </c>
      <c r="D282" s="5" t="s">
        <v>26</v>
      </c>
      <c r="E282" s="5" t="s">
        <v>35</v>
      </c>
      <c r="F282" s="5" t="s">
        <v>28</v>
      </c>
      <c r="G282" s="5">
        <v>59566</v>
      </c>
    </row>
    <row r="283" spans="1:7" x14ac:dyDescent="0.3">
      <c r="A283" s="3" t="s">
        <v>68</v>
      </c>
      <c r="B283" s="5" t="s">
        <v>56</v>
      </c>
      <c r="C283" s="5" t="s">
        <v>50</v>
      </c>
      <c r="D283" s="5" t="s">
        <v>26</v>
      </c>
      <c r="E283" s="5" t="s">
        <v>54</v>
      </c>
      <c r="F283" s="5" t="s">
        <v>28</v>
      </c>
      <c r="G283" s="5">
        <v>43023</v>
      </c>
    </row>
    <row r="284" spans="1:7" x14ac:dyDescent="0.3">
      <c r="A284" s="3" t="s">
        <v>68</v>
      </c>
      <c r="B284" s="5" t="s">
        <v>56</v>
      </c>
      <c r="C284" s="5" t="s">
        <v>50</v>
      </c>
      <c r="D284" s="5" t="s">
        <v>26</v>
      </c>
      <c r="E284" s="5" t="s">
        <v>37</v>
      </c>
      <c r="F284" s="5" t="s">
        <v>28</v>
      </c>
      <c r="G284" s="5">
        <v>181</v>
      </c>
    </row>
    <row r="285" spans="1:7" x14ac:dyDescent="0.3">
      <c r="A285" s="3" t="s">
        <v>68</v>
      </c>
      <c r="B285" s="5" t="s">
        <v>56</v>
      </c>
      <c r="C285" s="5" t="s">
        <v>50</v>
      </c>
      <c r="D285" s="5" t="s">
        <v>26</v>
      </c>
      <c r="E285" s="5" t="s">
        <v>38</v>
      </c>
      <c r="F285" s="5" t="s">
        <v>28</v>
      </c>
      <c r="G285" s="5">
        <v>102770</v>
      </c>
    </row>
    <row r="286" spans="1:7" x14ac:dyDescent="0.3">
      <c r="A286" s="3" t="s">
        <v>68</v>
      </c>
      <c r="B286" s="5" t="s">
        <v>56</v>
      </c>
      <c r="C286" s="5" t="s">
        <v>50</v>
      </c>
      <c r="D286" s="5" t="s">
        <v>26</v>
      </c>
      <c r="E286" s="5" t="s">
        <v>39</v>
      </c>
      <c r="F286" s="5" t="s">
        <v>28</v>
      </c>
      <c r="G286" s="5">
        <v>219</v>
      </c>
    </row>
    <row r="287" spans="1:7" x14ac:dyDescent="0.3">
      <c r="A287" s="3" t="s">
        <v>68</v>
      </c>
      <c r="B287" s="5" t="s">
        <v>56</v>
      </c>
      <c r="C287" s="5" t="s">
        <v>50</v>
      </c>
      <c r="D287" s="5" t="s">
        <v>26</v>
      </c>
      <c r="E287" s="5" t="s">
        <v>40</v>
      </c>
      <c r="F287" s="5" t="s">
        <v>28</v>
      </c>
      <c r="G287" s="5">
        <v>133</v>
      </c>
    </row>
    <row r="288" spans="1:7" x14ac:dyDescent="0.3">
      <c r="A288" s="3" t="s">
        <v>68</v>
      </c>
      <c r="B288" s="5" t="s">
        <v>56</v>
      </c>
      <c r="C288" s="5" t="s">
        <v>50</v>
      </c>
      <c r="D288" s="5" t="s">
        <v>26</v>
      </c>
      <c r="E288" s="5" t="s">
        <v>55</v>
      </c>
      <c r="F288" s="5" t="s">
        <v>28</v>
      </c>
      <c r="G288" s="5">
        <v>0</v>
      </c>
    </row>
    <row r="289" spans="1:7" x14ac:dyDescent="0.3">
      <c r="A289" s="3" t="s">
        <v>68</v>
      </c>
      <c r="B289" s="5" t="s">
        <v>56</v>
      </c>
      <c r="C289" s="5" t="s">
        <v>50</v>
      </c>
      <c r="D289" s="5" t="s">
        <v>26</v>
      </c>
      <c r="E289" s="5" t="s">
        <v>42</v>
      </c>
      <c r="F289" s="5" t="s">
        <v>28</v>
      </c>
      <c r="G289" s="5">
        <v>352</v>
      </c>
    </row>
    <row r="290" spans="1:7" x14ac:dyDescent="0.3">
      <c r="A290" s="3" t="s">
        <v>69</v>
      </c>
      <c r="B290" s="5" t="s">
        <v>59</v>
      </c>
      <c r="C290" s="5" t="s">
        <v>8</v>
      </c>
      <c r="D290" s="5" t="s">
        <v>6</v>
      </c>
      <c r="E290" s="5" t="s">
        <v>44</v>
      </c>
      <c r="F290" s="5" t="s">
        <v>45</v>
      </c>
      <c r="G290" s="5">
        <v>4049102</v>
      </c>
    </row>
    <row r="291" spans="1:7" x14ac:dyDescent="0.3">
      <c r="A291" s="3" t="s">
        <v>69</v>
      </c>
      <c r="B291" s="5" t="s">
        <v>59</v>
      </c>
      <c r="C291" s="5" t="s">
        <v>8</v>
      </c>
      <c r="D291" s="5" t="s">
        <v>6</v>
      </c>
      <c r="E291" s="5" t="s">
        <v>46</v>
      </c>
      <c r="F291" s="5" t="s">
        <v>45</v>
      </c>
      <c r="G291" s="5">
        <v>478631072</v>
      </c>
    </row>
    <row r="292" spans="1:7" x14ac:dyDescent="0.3">
      <c r="A292" s="3" t="s">
        <v>69</v>
      </c>
      <c r="B292" s="5" t="s">
        <v>59</v>
      </c>
      <c r="C292" s="5" t="s">
        <v>8</v>
      </c>
      <c r="D292" s="5" t="s">
        <v>6</v>
      </c>
      <c r="E292" s="5" t="s">
        <v>57</v>
      </c>
      <c r="F292" s="5" t="s">
        <v>45</v>
      </c>
      <c r="G292" s="5">
        <v>3121240</v>
      </c>
    </row>
    <row r="293" spans="1:7" x14ac:dyDescent="0.3">
      <c r="A293" s="3" t="s">
        <v>69</v>
      </c>
      <c r="B293" s="5" t="s">
        <v>59</v>
      </c>
      <c r="C293" s="5" t="s">
        <v>8</v>
      </c>
      <c r="D293" s="5" t="s">
        <v>6</v>
      </c>
      <c r="E293" s="5" t="s">
        <v>47</v>
      </c>
      <c r="F293" s="5" t="s">
        <v>45</v>
      </c>
      <c r="G293" s="5">
        <v>485801414</v>
      </c>
    </row>
    <row r="294" spans="1:7" x14ac:dyDescent="0.3">
      <c r="A294" s="3" t="s">
        <v>69</v>
      </c>
      <c r="B294" s="5" t="s">
        <v>59</v>
      </c>
      <c r="C294" s="5" t="s">
        <v>8</v>
      </c>
      <c r="D294" s="5" t="s">
        <v>9</v>
      </c>
      <c r="E294" s="5" t="s">
        <v>48</v>
      </c>
      <c r="F294" s="5" t="s">
        <v>11</v>
      </c>
      <c r="G294" s="5">
        <v>94960651</v>
      </c>
    </row>
    <row r="295" spans="1:7" x14ac:dyDescent="0.3">
      <c r="A295" s="3" t="s">
        <v>69</v>
      </c>
      <c r="B295" s="5" t="s">
        <v>59</v>
      </c>
      <c r="C295" s="5" t="s">
        <v>8</v>
      </c>
      <c r="D295" s="5" t="s">
        <v>9</v>
      </c>
      <c r="E295" s="5" t="s">
        <v>49</v>
      </c>
      <c r="F295" s="5" t="s">
        <v>11</v>
      </c>
      <c r="G295" s="5">
        <v>2181763</v>
      </c>
    </row>
    <row r="296" spans="1:7" x14ac:dyDescent="0.3">
      <c r="A296" s="3" t="s">
        <v>69</v>
      </c>
      <c r="B296" s="5" t="s">
        <v>59</v>
      </c>
      <c r="C296" s="5" t="s">
        <v>8</v>
      </c>
      <c r="D296" s="5" t="s">
        <v>9</v>
      </c>
      <c r="E296" s="5" t="s">
        <v>10</v>
      </c>
      <c r="F296" s="5" t="s">
        <v>11</v>
      </c>
      <c r="G296" s="5">
        <v>9771946</v>
      </c>
    </row>
    <row r="297" spans="1:7" x14ac:dyDescent="0.3">
      <c r="A297" s="3" t="s">
        <v>69</v>
      </c>
      <c r="B297" s="5" t="s">
        <v>59</v>
      </c>
      <c r="C297" s="5" t="s">
        <v>8</v>
      </c>
      <c r="D297" s="5" t="s">
        <v>9</v>
      </c>
      <c r="E297" s="5" t="s">
        <v>12</v>
      </c>
      <c r="F297" s="5" t="s">
        <v>11</v>
      </c>
      <c r="G297" s="5">
        <v>95070746</v>
      </c>
    </row>
    <row r="298" spans="1:7" x14ac:dyDescent="0.3">
      <c r="A298" s="3" t="s">
        <v>69</v>
      </c>
      <c r="B298" s="5" t="s">
        <v>59</v>
      </c>
      <c r="C298" s="5" t="s">
        <v>8</v>
      </c>
      <c r="D298" s="5" t="s">
        <v>9</v>
      </c>
      <c r="E298" s="5" t="s">
        <v>13</v>
      </c>
      <c r="F298" s="5" t="s">
        <v>11</v>
      </c>
      <c r="G298" s="5">
        <v>257701</v>
      </c>
    </row>
    <row r="299" spans="1:7" x14ac:dyDescent="0.3">
      <c r="A299" s="3" t="s">
        <v>69</v>
      </c>
      <c r="B299" s="5" t="s">
        <v>59</v>
      </c>
      <c r="C299" s="5" t="s">
        <v>8</v>
      </c>
      <c r="D299" s="5" t="s">
        <v>9</v>
      </c>
      <c r="E299" s="5" t="s">
        <v>14</v>
      </c>
      <c r="F299" s="5" t="s">
        <v>11</v>
      </c>
      <c r="G299" s="5">
        <v>202242836</v>
      </c>
    </row>
    <row r="300" spans="1:7" x14ac:dyDescent="0.3">
      <c r="A300" s="3" t="s">
        <v>69</v>
      </c>
      <c r="B300" s="5" t="s">
        <v>59</v>
      </c>
      <c r="C300" s="5" t="s">
        <v>8</v>
      </c>
      <c r="D300" s="5" t="s">
        <v>9</v>
      </c>
      <c r="E300" s="5" t="s">
        <v>15</v>
      </c>
      <c r="F300" s="5" t="s">
        <v>11</v>
      </c>
      <c r="G300" s="5">
        <v>202242836</v>
      </c>
    </row>
    <row r="301" spans="1:7" x14ac:dyDescent="0.3">
      <c r="A301" s="3" t="s">
        <v>69</v>
      </c>
      <c r="B301" s="5" t="s">
        <v>59</v>
      </c>
      <c r="C301" s="5" t="s">
        <v>8</v>
      </c>
      <c r="D301" s="5" t="s">
        <v>16</v>
      </c>
      <c r="E301" s="5" t="s">
        <v>17</v>
      </c>
      <c r="F301" s="5" t="s">
        <v>52</v>
      </c>
      <c r="G301" s="5">
        <v>36991</v>
      </c>
    </row>
    <row r="302" spans="1:7" x14ac:dyDescent="0.3">
      <c r="A302" s="3" t="s">
        <v>69</v>
      </c>
      <c r="B302" s="5" t="s">
        <v>59</v>
      </c>
      <c r="C302" s="5" t="s">
        <v>8</v>
      </c>
      <c r="D302" s="5" t="s">
        <v>16</v>
      </c>
      <c r="E302" s="5" t="s">
        <v>19</v>
      </c>
      <c r="F302" s="5" t="s">
        <v>52</v>
      </c>
      <c r="G302" s="5">
        <v>19193</v>
      </c>
    </row>
    <row r="303" spans="1:7" x14ac:dyDescent="0.3">
      <c r="A303" s="3" t="s">
        <v>69</v>
      </c>
      <c r="B303" s="5" t="s">
        <v>59</v>
      </c>
      <c r="C303" s="5" t="s">
        <v>8</v>
      </c>
      <c r="D303" s="5" t="s">
        <v>16</v>
      </c>
      <c r="E303" s="5" t="s">
        <v>20</v>
      </c>
      <c r="F303" s="5" t="s">
        <v>52</v>
      </c>
      <c r="G303" s="5">
        <v>1722</v>
      </c>
    </row>
    <row r="304" spans="1:7" x14ac:dyDescent="0.3">
      <c r="A304" s="3" t="s">
        <v>69</v>
      </c>
      <c r="B304" s="5" t="s">
        <v>59</v>
      </c>
      <c r="C304" s="5" t="s">
        <v>8</v>
      </c>
      <c r="D304" s="5" t="s">
        <v>21</v>
      </c>
      <c r="E304" s="5" t="s">
        <v>22</v>
      </c>
      <c r="F304" s="5" t="s">
        <v>23</v>
      </c>
      <c r="G304" s="5">
        <v>37223578</v>
      </c>
    </row>
    <row r="305" spans="1:7" x14ac:dyDescent="0.3">
      <c r="A305" s="3" t="s">
        <v>69</v>
      </c>
      <c r="B305" s="5" t="s">
        <v>59</v>
      </c>
      <c r="C305" s="5" t="s">
        <v>8</v>
      </c>
      <c r="D305" s="5" t="s">
        <v>21</v>
      </c>
      <c r="E305" s="5" t="s">
        <v>24</v>
      </c>
      <c r="F305" s="5" t="s">
        <v>23</v>
      </c>
      <c r="G305" s="5">
        <v>867610</v>
      </c>
    </row>
    <row r="306" spans="1:7" x14ac:dyDescent="0.3">
      <c r="A306" s="3" t="s">
        <v>69</v>
      </c>
      <c r="B306" s="5" t="s">
        <v>59</v>
      </c>
      <c r="C306" s="5" t="s">
        <v>8</v>
      </c>
      <c r="D306" s="5" t="s">
        <v>21</v>
      </c>
      <c r="E306" s="5" t="s">
        <v>25</v>
      </c>
      <c r="F306" s="5" t="s">
        <v>23</v>
      </c>
      <c r="G306" s="5">
        <v>38091188</v>
      </c>
    </row>
    <row r="307" spans="1:7" x14ac:dyDescent="0.3">
      <c r="A307" s="3" t="s">
        <v>69</v>
      </c>
      <c r="B307" s="5" t="s">
        <v>59</v>
      </c>
      <c r="C307" s="5" t="s">
        <v>8</v>
      </c>
      <c r="D307" s="5" t="s">
        <v>26</v>
      </c>
      <c r="E307" s="5" t="s">
        <v>27</v>
      </c>
      <c r="F307" s="5" t="s">
        <v>28</v>
      </c>
      <c r="G307" s="5">
        <v>3415</v>
      </c>
    </row>
    <row r="308" spans="1:7" x14ac:dyDescent="0.3">
      <c r="A308" s="3" t="s">
        <v>69</v>
      </c>
      <c r="B308" s="5" t="s">
        <v>59</v>
      </c>
      <c r="C308" s="5" t="s">
        <v>8</v>
      </c>
      <c r="D308" s="5" t="s">
        <v>26</v>
      </c>
      <c r="E308" s="5" t="s">
        <v>29</v>
      </c>
      <c r="F308" s="5" t="s">
        <v>28</v>
      </c>
      <c r="G308" s="5">
        <v>73.06</v>
      </c>
    </row>
    <row r="309" spans="1:7" x14ac:dyDescent="0.3">
      <c r="A309" s="3" t="s">
        <v>69</v>
      </c>
      <c r="B309" s="5" t="s">
        <v>59</v>
      </c>
      <c r="C309" s="5" t="s">
        <v>8</v>
      </c>
      <c r="D309" s="5" t="s">
        <v>26</v>
      </c>
      <c r="E309" s="5" t="s">
        <v>30</v>
      </c>
      <c r="F309" s="5" t="s">
        <v>28</v>
      </c>
      <c r="G309" s="5">
        <v>9.34</v>
      </c>
    </row>
    <row r="310" spans="1:7" x14ac:dyDescent="0.3">
      <c r="A310" s="3" t="s">
        <v>69</v>
      </c>
      <c r="B310" s="5" t="s">
        <v>59</v>
      </c>
      <c r="C310" s="5" t="s">
        <v>8</v>
      </c>
      <c r="D310" s="5" t="s">
        <v>26</v>
      </c>
      <c r="E310" s="5" t="s">
        <v>53</v>
      </c>
      <c r="F310" s="5" t="s">
        <v>28</v>
      </c>
      <c r="G310" s="5">
        <v>0</v>
      </c>
    </row>
    <row r="311" spans="1:7" x14ac:dyDescent="0.3">
      <c r="A311" s="3" t="s">
        <v>69</v>
      </c>
      <c r="B311" s="5" t="s">
        <v>59</v>
      </c>
      <c r="C311" s="5" t="s">
        <v>8</v>
      </c>
      <c r="D311" s="5" t="s">
        <v>26</v>
      </c>
      <c r="E311" s="5" t="s">
        <v>31</v>
      </c>
      <c r="F311" s="5" t="s">
        <v>28</v>
      </c>
      <c r="G311" s="5">
        <v>82.31</v>
      </c>
    </row>
    <row r="312" spans="1:7" x14ac:dyDescent="0.3">
      <c r="A312" s="3" t="s">
        <v>69</v>
      </c>
      <c r="B312" s="5" t="s">
        <v>59</v>
      </c>
      <c r="C312" s="5" t="s">
        <v>8</v>
      </c>
      <c r="D312" s="5" t="s">
        <v>26</v>
      </c>
      <c r="E312" s="5" t="s">
        <v>32</v>
      </c>
      <c r="F312" s="5" t="s">
        <v>28</v>
      </c>
      <c r="G312" s="5">
        <v>72721</v>
      </c>
    </row>
    <row r="313" spans="1:7" x14ac:dyDescent="0.3">
      <c r="A313" s="3" t="s">
        <v>69</v>
      </c>
      <c r="B313" s="5" t="s">
        <v>59</v>
      </c>
      <c r="C313" s="5" t="s">
        <v>8</v>
      </c>
      <c r="D313" s="5" t="s">
        <v>26</v>
      </c>
      <c r="E313" s="5" t="s">
        <v>33</v>
      </c>
      <c r="F313" s="5" t="s">
        <v>28</v>
      </c>
      <c r="G313" s="5">
        <v>800683</v>
      </c>
    </row>
    <row r="314" spans="1:7" x14ac:dyDescent="0.3">
      <c r="A314" s="3" t="s">
        <v>69</v>
      </c>
      <c r="B314" s="5" t="s">
        <v>59</v>
      </c>
      <c r="C314" s="5" t="s">
        <v>8</v>
      </c>
      <c r="D314" s="5" t="s">
        <v>26</v>
      </c>
      <c r="E314" s="5" t="s">
        <v>34</v>
      </c>
      <c r="F314" s="5" t="s">
        <v>28</v>
      </c>
      <c r="G314" s="5">
        <v>876984</v>
      </c>
    </row>
    <row r="315" spans="1:7" x14ac:dyDescent="0.3">
      <c r="A315" s="3" t="s">
        <v>69</v>
      </c>
      <c r="B315" s="5" t="s">
        <v>59</v>
      </c>
      <c r="C315" s="5" t="s">
        <v>8</v>
      </c>
      <c r="D315" s="5" t="s">
        <v>26</v>
      </c>
      <c r="E315" s="5" t="s">
        <v>35</v>
      </c>
      <c r="F315" s="5" t="s">
        <v>28</v>
      </c>
      <c r="G315" s="5">
        <v>806666</v>
      </c>
    </row>
    <row r="316" spans="1:7" x14ac:dyDescent="0.3">
      <c r="A316" s="3" t="s">
        <v>69</v>
      </c>
      <c r="B316" s="5" t="s">
        <v>59</v>
      </c>
      <c r="C316" s="5" t="s">
        <v>8</v>
      </c>
      <c r="D316" s="5" t="s">
        <v>26</v>
      </c>
      <c r="E316" s="5" t="s">
        <v>54</v>
      </c>
      <c r="F316" s="5" t="s">
        <v>28</v>
      </c>
      <c r="G316" s="5">
        <v>862692</v>
      </c>
    </row>
    <row r="317" spans="1:7" x14ac:dyDescent="0.3">
      <c r="A317" s="3" t="s">
        <v>69</v>
      </c>
      <c r="B317" s="5" t="s">
        <v>59</v>
      </c>
      <c r="C317" s="5" t="s">
        <v>8</v>
      </c>
      <c r="D317" s="5" t="s">
        <v>26</v>
      </c>
      <c r="E317" s="5" t="s">
        <v>37</v>
      </c>
      <c r="F317" s="5" t="s">
        <v>28</v>
      </c>
      <c r="G317" s="5">
        <v>0</v>
      </c>
    </row>
    <row r="318" spans="1:7" x14ac:dyDescent="0.3">
      <c r="A318" s="3" t="s">
        <v>69</v>
      </c>
      <c r="B318" s="5" t="s">
        <v>59</v>
      </c>
      <c r="C318" s="5" t="s">
        <v>8</v>
      </c>
      <c r="D318" s="5" t="s">
        <v>26</v>
      </c>
      <c r="E318" s="5" t="s">
        <v>38</v>
      </c>
      <c r="F318" s="5" t="s">
        <v>28</v>
      </c>
      <c r="G318" s="5">
        <v>862692</v>
      </c>
    </row>
    <row r="319" spans="1:7" x14ac:dyDescent="0.3">
      <c r="A319" s="3" t="s">
        <v>69</v>
      </c>
      <c r="B319" s="5" t="s">
        <v>59</v>
      </c>
      <c r="C319" s="5" t="s">
        <v>8</v>
      </c>
      <c r="D319" s="5" t="s">
        <v>26</v>
      </c>
      <c r="E319" s="5" t="s">
        <v>39</v>
      </c>
      <c r="F319" s="5" t="s">
        <v>28</v>
      </c>
      <c r="G319" s="5">
        <v>8157</v>
      </c>
    </row>
    <row r="320" spans="1:7" x14ac:dyDescent="0.3">
      <c r="A320" s="3" t="s">
        <v>69</v>
      </c>
      <c r="B320" s="5" t="s">
        <v>59</v>
      </c>
      <c r="C320" s="5" t="s">
        <v>8</v>
      </c>
      <c r="D320" s="5" t="s">
        <v>26</v>
      </c>
      <c r="E320" s="5" t="s">
        <v>40</v>
      </c>
      <c r="F320" s="5" t="s">
        <v>28</v>
      </c>
      <c r="G320" s="5">
        <v>6126</v>
      </c>
    </row>
    <row r="321" spans="1:7" x14ac:dyDescent="0.3">
      <c r="A321" s="3" t="s">
        <v>69</v>
      </c>
      <c r="B321" s="5" t="s">
        <v>59</v>
      </c>
      <c r="C321" s="5" t="s">
        <v>8</v>
      </c>
      <c r="D321" s="5" t="s">
        <v>26</v>
      </c>
      <c r="E321" s="5" t="s">
        <v>55</v>
      </c>
      <c r="F321" s="5" t="s">
        <v>28</v>
      </c>
      <c r="G321" s="5">
        <v>9</v>
      </c>
    </row>
    <row r="322" spans="1:7" x14ac:dyDescent="0.3">
      <c r="A322" s="3" t="s">
        <v>69</v>
      </c>
      <c r="B322" s="5" t="s">
        <v>59</v>
      </c>
      <c r="C322" s="5" t="s">
        <v>8</v>
      </c>
      <c r="D322" s="5" t="s">
        <v>26</v>
      </c>
      <c r="E322" s="5" t="s">
        <v>42</v>
      </c>
      <c r="F322" s="5" t="s">
        <v>28</v>
      </c>
      <c r="G322" s="5">
        <v>14292</v>
      </c>
    </row>
    <row r="323" spans="1:7" x14ac:dyDescent="0.3">
      <c r="A323" s="3" t="s">
        <v>69</v>
      </c>
      <c r="B323" s="5" t="s">
        <v>59</v>
      </c>
      <c r="C323" s="5" t="s">
        <v>43</v>
      </c>
      <c r="D323" s="5" t="s">
        <v>6</v>
      </c>
      <c r="E323" s="5" t="s">
        <v>44</v>
      </c>
      <c r="F323" s="5" t="s">
        <v>45</v>
      </c>
      <c r="G323" s="5">
        <v>4270996</v>
      </c>
    </row>
    <row r="324" spans="1:7" x14ac:dyDescent="0.3">
      <c r="A324" s="3" t="s">
        <v>69</v>
      </c>
      <c r="B324" s="5" t="s">
        <v>59</v>
      </c>
      <c r="C324" s="5" t="s">
        <v>43</v>
      </c>
      <c r="D324" s="5" t="s">
        <v>6</v>
      </c>
      <c r="E324" s="5" t="s">
        <v>46</v>
      </c>
      <c r="F324" s="5" t="s">
        <v>45</v>
      </c>
      <c r="G324" s="5">
        <v>462614249</v>
      </c>
    </row>
    <row r="325" spans="1:7" x14ac:dyDescent="0.3">
      <c r="A325" s="3" t="s">
        <v>69</v>
      </c>
      <c r="B325" s="5" t="s">
        <v>59</v>
      </c>
      <c r="C325" s="5" t="s">
        <v>43</v>
      </c>
      <c r="D325" s="5" t="s">
        <v>6</v>
      </c>
      <c r="E325" s="5" t="s">
        <v>57</v>
      </c>
      <c r="F325" s="5" t="s">
        <v>45</v>
      </c>
      <c r="G325" s="5">
        <v>6705340</v>
      </c>
    </row>
    <row r="326" spans="1:7" x14ac:dyDescent="0.3">
      <c r="A326" s="3" t="s">
        <v>69</v>
      </c>
      <c r="B326" s="5" t="s">
        <v>59</v>
      </c>
      <c r="C326" s="5" t="s">
        <v>43</v>
      </c>
      <c r="D326" s="5" t="s">
        <v>6</v>
      </c>
      <c r="E326" s="5" t="s">
        <v>47</v>
      </c>
      <c r="F326" s="5" t="s">
        <v>45</v>
      </c>
      <c r="G326" s="5">
        <v>473590585</v>
      </c>
    </row>
    <row r="327" spans="1:7" x14ac:dyDescent="0.3">
      <c r="A327" s="3" t="s">
        <v>69</v>
      </c>
      <c r="B327" s="5" t="s">
        <v>59</v>
      </c>
      <c r="C327" s="5" t="s">
        <v>43</v>
      </c>
      <c r="D327" s="5" t="s">
        <v>9</v>
      </c>
      <c r="E327" s="5" t="s">
        <v>48</v>
      </c>
      <c r="F327" s="5" t="s">
        <v>11</v>
      </c>
      <c r="G327" s="5">
        <v>93018091</v>
      </c>
    </row>
    <row r="328" spans="1:7" x14ac:dyDescent="0.3">
      <c r="A328" s="3" t="s">
        <v>69</v>
      </c>
      <c r="B328" s="5" t="s">
        <v>59</v>
      </c>
      <c r="C328" s="5" t="s">
        <v>43</v>
      </c>
      <c r="D328" s="5" t="s">
        <v>9</v>
      </c>
      <c r="E328" s="5" t="s">
        <v>49</v>
      </c>
      <c r="F328" s="5" t="s">
        <v>11</v>
      </c>
      <c r="G328" s="5">
        <v>2349164</v>
      </c>
    </row>
    <row r="329" spans="1:7" x14ac:dyDescent="0.3">
      <c r="A329" s="3" t="s">
        <v>69</v>
      </c>
      <c r="B329" s="5" t="s">
        <v>59</v>
      </c>
      <c r="C329" s="5" t="s">
        <v>43</v>
      </c>
      <c r="D329" s="5" t="s">
        <v>9</v>
      </c>
      <c r="E329" s="5" t="s">
        <v>10</v>
      </c>
      <c r="F329" s="5" t="s">
        <v>11</v>
      </c>
      <c r="G329" s="5">
        <v>11844277</v>
      </c>
    </row>
    <row r="330" spans="1:7" x14ac:dyDescent="0.3">
      <c r="A330" s="3" t="s">
        <v>69</v>
      </c>
      <c r="B330" s="5" t="s">
        <v>59</v>
      </c>
      <c r="C330" s="5" t="s">
        <v>43</v>
      </c>
      <c r="D330" s="5" t="s">
        <v>9</v>
      </c>
      <c r="E330" s="5" t="s">
        <v>12</v>
      </c>
      <c r="F330" s="5" t="s">
        <v>11</v>
      </c>
      <c r="G330" s="5">
        <v>93084295</v>
      </c>
    </row>
    <row r="331" spans="1:7" x14ac:dyDescent="0.3">
      <c r="A331" s="3" t="s">
        <v>69</v>
      </c>
      <c r="B331" s="5" t="s">
        <v>59</v>
      </c>
      <c r="C331" s="5" t="s">
        <v>43</v>
      </c>
      <c r="D331" s="5" t="s">
        <v>9</v>
      </c>
      <c r="E331" s="5" t="s">
        <v>13</v>
      </c>
      <c r="F331" s="5" t="s">
        <v>11</v>
      </c>
      <c r="G331" s="5">
        <v>223085</v>
      </c>
    </row>
    <row r="332" spans="1:7" x14ac:dyDescent="0.3">
      <c r="A332" s="3" t="s">
        <v>69</v>
      </c>
      <c r="B332" s="5" t="s">
        <v>59</v>
      </c>
      <c r="C332" s="5" t="s">
        <v>43</v>
      </c>
      <c r="D332" s="5" t="s">
        <v>9</v>
      </c>
      <c r="E332" s="5" t="s">
        <v>14</v>
      </c>
      <c r="F332" s="5" t="s">
        <v>11</v>
      </c>
      <c r="G332" s="5">
        <v>200518912</v>
      </c>
    </row>
    <row r="333" spans="1:7" x14ac:dyDescent="0.3">
      <c r="A333" s="3" t="s">
        <v>69</v>
      </c>
      <c r="B333" s="5" t="s">
        <v>59</v>
      </c>
      <c r="C333" s="5" t="s">
        <v>43</v>
      </c>
      <c r="D333" s="5" t="s">
        <v>9</v>
      </c>
      <c r="E333" s="5" t="s">
        <v>15</v>
      </c>
      <c r="F333" s="5" t="s">
        <v>11</v>
      </c>
      <c r="G333" s="5">
        <v>200518912</v>
      </c>
    </row>
    <row r="334" spans="1:7" x14ac:dyDescent="0.3">
      <c r="A334" s="3" t="s">
        <v>69</v>
      </c>
      <c r="B334" s="5" t="s">
        <v>59</v>
      </c>
      <c r="C334" s="5" t="s">
        <v>43</v>
      </c>
      <c r="D334" s="5" t="s">
        <v>16</v>
      </c>
      <c r="E334" s="5" t="s">
        <v>17</v>
      </c>
      <c r="F334" s="5" t="s">
        <v>52</v>
      </c>
      <c r="G334" s="5">
        <v>34337</v>
      </c>
    </row>
    <row r="335" spans="1:7" x14ac:dyDescent="0.3">
      <c r="A335" s="3" t="s">
        <v>69</v>
      </c>
      <c r="B335" s="5" t="s">
        <v>59</v>
      </c>
      <c r="C335" s="5" t="s">
        <v>43</v>
      </c>
      <c r="D335" s="5" t="s">
        <v>16</v>
      </c>
      <c r="E335" s="5" t="s">
        <v>19</v>
      </c>
      <c r="F335" s="5" t="s">
        <v>52</v>
      </c>
      <c r="G335" s="5">
        <v>17438</v>
      </c>
    </row>
    <row r="336" spans="1:7" x14ac:dyDescent="0.3">
      <c r="A336" s="3" t="s">
        <v>69</v>
      </c>
      <c r="B336" s="5" t="s">
        <v>59</v>
      </c>
      <c r="C336" s="5" t="s">
        <v>43</v>
      </c>
      <c r="D336" s="5" t="s">
        <v>16</v>
      </c>
      <c r="E336" s="5" t="s">
        <v>20</v>
      </c>
      <c r="F336" s="5" t="s">
        <v>52</v>
      </c>
      <c r="G336" s="5">
        <v>1659</v>
      </c>
    </row>
    <row r="337" spans="1:7" x14ac:dyDescent="0.3">
      <c r="A337" s="3" t="s">
        <v>69</v>
      </c>
      <c r="B337" s="5" t="s">
        <v>59</v>
      </c>
      <c r="C337" s="5" t="s">
        <v>43</v>
      </c>
      <c r="D337" s="5" t="s">
        <v>21</v>
      </c>
      <c r="E337" s="5" t="s">
        <v>22</v>
      </c>
      <c r="F337" s="5" t="s">
        <v>23</v>
      </c>
      <c r="G337" s="5">
        <v>37095658</v>
      </c>
    </row>
    <row r="338" spans="1:7" x14ac:dyDescent="0.3">
      <c r="A338" s="3" t="s">
        <v>69</v>
      </c>
      <c r="B338" s="5" t="s">
        <v>59</v>
      </c>
      <c r="C338" s="5" t="s">
        <v>43</v>
      </c>
      <c r="D338" s="5" t="s">
        <v>21</v>
      </c>
      <c r="E338" s="5" t="s">
        <v>24</v>
      </c>
      <c r="F338" s="5" t="s">
        <v>23</v>
      </c>
      <c r="G338" s="5">
        <v>850070</v>
      </c>
    </row>
    <row r="339" spans="1:7" x14ac:dyDescent="0.3">
      <c r="A339" s="3" t="s">
        <v>69</v>
      </c>
      <c r="B339" s="5" t="s">
        <v>59</v>
      </c>
      <c r="C339" s="5" t="s">
        <v>43</v>
      </c>
      <c r="D339" s="5" t="s">
        <v>21</v>
      </c>
      <c r="E339" s="5" t="s">
        <v>25</v>
      </c>
      <c r="F339" s="5" t="s">
        <v>23</v>
      </c>
      <c r="G339" s="5">
        <v>37945728</v>
      </c>
    </row>
    <row r="340" spans="1:7" x14ac:dyDescent="0.3">
      <c r="A340" s="3" t="s">
        <v>69</v>
      </c>
      <c r="B340" s="5" t="s">
        <v>59</v>
      </c>
      <c r="C340" s="5" t="s">
        <v>43</v>
      </c>
      <c r="D340" s="5" t="s">
        <v>26</v>
      </c>
      <c r="E340" s="5" t="s">
        <v>27</v>
      </c>
      <c r="F340" s="5" t="s">
        <v>28</v>
      </c>
      <c r="G340" s="5">
        <v>3707</v>
      </c>
    </row>
    <row r="341" spans="1:7" x14ac:dyDescent="0.3">
      <c r="A341" s="3" t="s">
        <v>69</v>
      </c>
      <c r="B341" s="5" t="s">
        <v>59</v>
      </c>
      <c r="C341" s="5" t="s">
        <v>43</v>
      </c>
      <c r="D341" s="5" t="s">
        <v>26</v>
      </c>
      <c r="E341" s="5" t="s">
        <v>29</v>
      </c>
      <c r="F341" s="5" t="s">
        <v>28</v>
      </c>
      <c r="G341" s="5">
        <v>133.33000000000001</v>
      </c>
    </row>
    <row r="342" spans="1:7" x14ac:dyDescent="0.3">
      <c r="A342" s="3" t="s">
        <v>69</v>
      </c>
      <c r="B342" s="5" t="s">
        <v>59</v>
      </c>
      <c r="C342" s="5" t="s">
        <v>43</v>
      </c>
      <c r="D342" s="5" t="s">
        <v>26</v>
      </c>
      <c r="E342" s="5" t="s">
        <v>30</v>
      </c>
      <c r="F342" s="5" t="s">
        <v>28</v>
      </c>
      <c r="G342" s="5">
        <v>10.15</v>
      </c>
    </row>
    <row r="343" spans="1:7" x14ac:dyDescent="0.3">
      <c r="A343" s="3" t="s">
        <v>69</v>
      </c>
      <c r="B343" s="5" t="s">
        <v>59</v>
      </c>
      <c r="C343" s="5" t="s">
        <v>43</v>
      </c>
      <c r="D343" s="5" t="s">
        <v>26</v>
      </c>
      <c r="E343" s="5" t="s">
        <v>53</v>
      </c>
      <c r="F343" s="5" t="s">
        <v>28</v>
      </c>
      <c r="G343" s="5">
        <v>0</v>
      </c>
    </row>
    <row r="344" spans="1:7" x14ac:dyDescent="0.3">
      <c r="A344" s="3" t="s">
        <v>69</v>
      </c>
      <c r="B344" s="5" t="s">
        <v>59</v>
      </c>
      <c r="C344" s="5" t="s">
        <v>43</v>
      </c>
      <c r="D344" s="5" t="s">
        <v>26</v>
      </c>
      <c r="E344" s="5" t="s">
        <v>31</v>
      </c>
      <c r="F344" s="5" t="s">
        <v>28</v>
      </c>
      <c r="G344" s="5">
        <v>283.37</v>
      </c>
    </row>
    <row r="345" spans="1:7" x14ac:dyDescent="0.3">
      <c r="A345" s="3" t="s">
        <v>69</v>
      </c>
      <c r="B345" s="5" t="s">
        <v>59</v>
      </c>
      <c r="C345" s="5" t="s">
        <v>43</v>
      </c>
      <c r="D345" s="5" t="s">
        <v>26</v>
      </c>
      <c r="E345" s="5" t="s">
        <v>32</v>
      </c>
      <c r="F345" s="5" t="s">
        <v>28</v>
      </c>
      <c r="G345" s="5">
        <v>88605</v>
      </c>
    </row>
    <row r="346" spans="1:7" x14ac:dyDescent="0.3">
      <c r="A346" s="3" t="s">
        <v>69</v>
      </c>
      <c r="B346" s="5" t="s">
        <v>59</v>
      </c>
      <c r="C346" s="5" t="s">
        <v>43</v>
      </c>
      <c r="D346" s="5" t="s">
        <v>26</v>
      </c>
      <c r="E346" s="5" t="s">
        <v>33</v>
      </c>
      <c r="F346" s="5" t="s">
        <v>28</v>
      </c>
      <c r="G346" s="5">
        <v>507870</v>
      </c>
    </row>
    <row r="347" spans="1:7" x14ac:dyDescent="0.3">
      <c r="A347" s="3" t="s">
        <v>69</v>
      </c>
      <c r="B347" s="5" t="s">
        <v>59</v>
      </c>
      <c r="C347" s="5" t="s">
        <v>43</v>
      </c>
      <c r="D347" s="5" t="s">
        <v>26</v>
      </c>
      <c r="E347" s="5" t="s">
        <v>34</v>
      </c>
      <c r="F347" s="5" t="s">
        <v>28</v>
      </c>
      <c r="G347" s="5">
        <v>600609</v>
      </c>
    </row>
    <row r="348" spans="1:7" x14ac:dyDescent="0.3">
      <c r="A348" s="3" t="s">
        <v>69</v>
      </c>
      <c r="B348" s="5" t="s">
        <v>59</v>
      </c>
      <c r="C348" s="5" t="s">
        <v>43</v>
      </c>
      <c r="D348" s="5" t="s">
        <v>26</v>
      </c>
      <c r="E348" s="5" t="s">
        <v>35</v>
      </c>
      <c r="F348" s="5" t="s">
        <v>28</v>
      </c>
      <c r="G348" s="5">
        <v>516501</v>
      </c>
    </row>
    <row r="349" spans="1:7" x14ac:dyDescent="0.3">
      <c r="A349" s="3" t="s">
        <v>69</v>
      </c>
      <c r="B349" s="5" t="s">
        <v>59</v>
      </c>
      <c r="C349" s="5" t="s">
        <v>43</v>
      </c>
      <c r="D349" s="5" t="s">
        <v>26</v>
      </c>
      <c r="E349" s="5" t="s">
        <v>54</v>
      </c>
      <c r="F349" s="5" t="s">
        <v>28</v>
      </c>
      <c r="G349" s="5">
        <v>67339</v>
      </c>
    </row>
    <row r="350" spans="1:7" x14ac:dyDescent="0.3">
      <c r="A350" s="3" t="s">
        <v>69</v>
      </c>
      <c r="B350" s="5" t="s">
        <v>59</v>
      </c>
      <c r="C350" s="5" t="s">
        <v>43</v>
      </c>
      <c r="D350" s="5" t="s">
        <v>26</v>
      </c>
      <c r="E350" s="5" t="s">
        <v>37</v>
      </c>
      <c r="F350" s="5" t="s">
        <v>28</v>
      </c>
      <c r="G350" s="5">
        <v>0</v>
      </c>
    </row>
    <row r="351" spans="1:7" x14ac:dyDescent="0.3">
      <c r="A351" s="3" t="s">
        <v>69</v>
      </c>
      <c r="B351" s="5" t="s">
        <v>59</v>
      </c>
      <c r="C351" s="5" t="s">
        <v>43</v>
      </c>
      <c r="D351" s="5" t="s">
        <v>26</v>
      </c>
      <c r="E351" s="5" t="s">
        <v>38</v>
      </c>
      <c r="F351" s="5" t="s">
        <v>28</v>
      </c>
      <c r="G351" s="5">
        <v>583839</v>
      </c>
    </row>
    <row r="352" spans="1:7" x14ac:dyDescent="0.3">
      <c r="A352" s="3" t="s">
        <v>69</v>
      </c>
      <c r="B352" s="5" t="s">
        <v>59</v>
      </c>
      <c r="C352" s="5" t="s">
        <v>43</v>
      </c>
      <c r="D352" s="5" t="s">
        <v>26</v>
      </c>
      <c r="E352" s="5" t="s">
        <v>39</v>
      </c>
      <c r="F352" s="5" t="s">
        <v>28</v>
      </c>
      <c r="G352" s="5">
        <v>8976</v>
      </c>
    </row>
    <row r="353" spans="1:7" x14ac:dyDescent="0.3">
      <c r="A353" s="3" t="s">
        <v>69</v>
      </c>
      <c r="B353" s="5" t="s">
        <v>59</v>
      </c>
      <c r="C353" s="5" t="s">
        <v>43</v>
      </c>
      <c r="D353" s="5" t="s">
        <v>26</v>
      </c>
      <c r="E353" s="5" t="s">
        <v>40</v>
      </c>
      <c r="F353" s="5" t="s">
        <v>28</v>
      </c>
      <c r="G353" s="5">
        <v>7784</v>
      </c>
    </row>
    <row r="354" spans="1:7" x14ac:dyDescent="0.3">
      <c r="A354" s="3" t="s">
        <v>69</v>
      </c>
      <c r="B354" s="5" t="s">
        <v>59</v>
      </c>
      <c r="C354" s="5" t="s">
        <v>43</v>
      </c>
      <c r="D354" s="5" t="s">
        <v>26</v>
      </c>
      <c r="E354" s="5" t="s">
        <v>55</v>
      </c>
      <c r="F354" s="5" t="s">
        <v>28</v>
      </c>
      <c r="G354" s="5">
        <v>10</v>
      </c>
    </row>
    <row r="355" spans="1:7" x14ac:dyDescent="0.3">
      <c r="A355" s="3" t="s">
        <v>69</v>
      </c>
      <c r="B355" s="5" t="s">
        <v>59</v>
      </c>
      <c r="C355" s="5" t="s">
        <v>43</v>
      </c>
      <c r="D355" s="5" t="s">
        <v>26</v>
      </c>
      <c r="E355" s="5" t="s">
        <v>42</v>
      </c>
      <c r="F355" s="5" t="s">
        <v>28</v>
      </c>
      <c r="G355" s="5">
        <v>16770</v>
      </c>
    </row>
    <row r="356" spans="1:7" x14ac:dyDescent="0.3">
      <c r="A356" s="3" t="s">
        <v>69</v>
      </c>
      <c r="B356" s="5" t="s">
        <v>59</v>
      </c>
      <c r="C356" s="5" t="s">
        <v>50</v>
      </c>
      <c r="D356" s="5" t="s">
        <v>6</v>
      </c>
      <c r="E356" s="5" t="s">
        <v>44</v>
      </c>
      <c r="F356" s="5" t="s">
        <v>45</v>
      </c>
      <c r="G356" s="5">
        <v>3753732</v>
      </c>
    </row>
    <row r="357" spans="1:7" x14ac:dyDescent="0.3">
      <c r="A357" s="3" t="s">
        <v>69</v>
      </c>
      <c r="B357" s="5" t="s">
        <v>59</v>
      </c>
      <c r="C357" s="5" t="s">
        <v>50</v>
      </c>
      <c r="D357" s="5" t="s">
        <v>6</v>
      </c>
      <c r="E357" s="5" t="s">
        <v>46</v>
      </c>
      <c r="F357" s="5" t="s">
        <v>45</v>
      </c>
      <c r="G357" s="5">
        <v>460315753</v>
      </c>
    </row>
    <row r="358" spans="1:7" x14ac:dyDescent="0.3">
      <c r="A358" s="3" t="s">
        <v>69</v>
      </c>
      <c r="B358" s="5" t="s">
        <v>59</v>
      </c>
      <c r="C358" s="5" t="s">
        <v>50</v>
      </c>
      <c r="D358" s="5" t="s">
        <v>6</v>
      </c>
      <c r="E358" s="5" t="s">
        <v>57</v>
      </c>
      <c r="F358" s="5" t="s">
        <v>45</v>
      </c>
      <c r="G358" s="5">
        <v>131327</v>
      </c>
    </row>
    <row r="359" spans="1:7" x14ac:dyDescent="0.3">
      <c r="A359" s="3" t="s">
        <v>69</v>
      </c>
      <c r="B359" s="5" t="s">
        <v>59</v>
      </c>
      <c r="C359" s="5" t="s">
        <v>50</v>
      </c>
      <c r="D359" s="5" t="s">
        <v>6</v>
      </c>
      <c r="E359" s="5" t="s">
        <v>47</v>
      </c>
      <c r="F359" s="5" t="s">
        <v>45</v>
      </c>
      <c r="G359" s="5">
        <v>464200812</v>
      </c>
    </row>
    <row r="360" spans="1:7" x14ac:dyDescent="0.3">
      <c r="A360" s="3" t="s">
        <v>69</v>
      </c>
      <c r="B360" s="5" t="s">
        <v>59</v>
      </c>
      <c r="C360" s="5" t="s">
        <v>50</v>
      </c>
      <c r="D360" s="5" t="s">
        <v>9</v>
      </c>
      <c r="E360" s="5" t="s">
        <v>48</v>
      </c>
      <c r="F360" s="5" t="s">
        <v>11</v>
      </c>
      <c r="G360" s="5">
        <v>98455582</v>
      </c>
    </row>
    <row r="361" spans="1:7" x14ac:dyDescent="0.3">
      <c r="A361" s="3" t="s">
        <v>69</v>
      </c>
      <c r="B361" s="5" t="s">
        <v>59</v>
      </c>
      <c r="C361" s="5" t="s">
        <v>50</v>
      </c>
      <c r="D361" s="5" t="s">
        <v>9</v>
      </c>
      <c r="E361" s="5" t="s">
        <v>49</v>
      </c>
      <c r="F361" s="5" t="s">
        <v>11</v>
      </c>
      <c r="G361" s="5">
        <v>2426470</v>
      </c>
    </row>
    <row r="362" spans="1:7" x14ac:dyDescent="0.3">
      <c r="A362" s="3" t="s">
        <v>69</v>
      </c>
      <c r="B362" s="5" t="s">
        <v>59</v>
      </c>
      <c r="C362" s="5" t="s">
        <v>50</v>
      </c>
      <c r="D362" s="5" t="s">
        <v>9</v>
      </c>
      <c r="E362" s="5" t="s">
        <v>10</v>
      </c>
      <c r="F362" s="5" t="s">
        <v>11</v>
      </c>
      <c r="G362" s="5">
        <v>12418520</v>
      </c>
    </row>
    <row r="363" spans="1:7" x14ac:dyDescent="0.3">
      <c r="A363" s="3" t="s">
        <v>69</v>
      </c>
      <c r="B363" s="5" t="s">
        <v>59</v>
      </c>
      <c r="C363" s="5" t="s">
        <v>50</v>
      </c>
      <c r="D363" s="5" t="s">
        <v>9</v>
      </c>
      <c r="E363" s="5" t="s">
        <v>12</v>
      </c>
      <c r="F363" s="5" t="s">
        <v>11</v>
      </c>
      <c r="G363" s="5">
        <v>90578519</v>
      </c>
    </row>
    <row r="364" spans="1:7" x14ac:dyDescent="0.3">
      <c r="A364" s="3" t="s">
        <v>69</v>
      </c>
      <c r="B364" s="5" t="s">
        <v>59</v>
      </c>
      <c r="C364" s="5" t="s">
        <v>50</v>
      </c>
      <c r="D364" s="5" t="s">
        <v>9</v>
      </c>
      <c r="E364" s="5" t="s">
        <v>13</v>
      </c>
      <c r="F364" s="5" t="s">
        <v>11</v>
      </c>
      <c r="G364" s="5">
        <v>220951</v>
      </c>
    </row>
    <row r="365" spans="1:7" x14ac:dyDescent="0.3">
      <c r="A365" s="3" t="s">
        <v>69</v>
      </c>
      <c r="B365" s="5" t="s">
        <v>59</v>
      </c>
      <c r="C365" s="5" t="s">
        <v>50</v>
      </c>
      <c r="D365" s="5" t="s">
        <v>9</v>
      </c>
      <c r="E365" s="5" t="s">
        <v>14</v>
      </c>
      <c r="F365" s="5" t="s">
        <v>11</v>
      </c>
      <c r="G365" s="5">
        <v>204100042</v>
      </c>
    </row>
    <row r="366" spans="1:7" x14ac:dyDescent="0.3">
      <c r="A366" s="3" t="s">
        <v>69</v>
      </c>
      <c r="B366" s="5" t="s">
        <v>59</v>
      </c>
      <c r="C366" s="5" t="s">
        <v>50</v>
      </c>
      <c r="D366" s="5" t="s">
        <v>9</v>
      </c>
      <c r="E366" s="5" t="s">
        <v>15</v>
      </c>
      <c r="F366" s="5" t="s">
        <v>11</v>
      </c>
      <c r="G366" s="5">
        <v>204100042</v>
      </c>
    </row>
    <row r="367" spans="1:7" x14ac:dyDescent="0.3">
      <c r="A367" s="3" t="s">
        <v>69</v>
      </c>
      <c r="B367" s="5" t="s">
        <v>59</v>
      </c>
      <c r="C367" s="5" t="s">
        <v>50</v>
      </c>
      <c r="D367" s="5" t="s">
        <v>16</v>
      </c>
      <c r="E367" s="5" t="s">
        <v>17</v>
      </c>
      <c r="F367" s="5" t="s">
        <v>52</v>
      </c>
      <c r="G367" s="5">
        <v>32485</v>
      </c>
    </row>
    <row r="368" spans="1:7" x14ac:dyDescent="0.3">
      <c r="A368" s="3" t="s">
        <v>69</v>
      </c>
      <c r="B368" s="5" t="s">
        <v>59</v>
      </c>
      <c r="C368" s="5" t="s">
        <v>50</v>
      </c>
      <c r="D368" s="5" t="s">
        <v>16</v>
      </c>
      <c r="E368" s="5" t="s">
        <v>19</v>
      </c>
      <c r="F368" s="5" t="s">
        <v>52</v>
      </c>
      <c r="G368" s="5">
        <v>14974</v>
      </c>
    </row>
    <row r="369" spans="1:7" x14ac:dyDescent="0.3">
      <c r="A369" s="3" t="s">
        <v>69</v>
      </c>
      <c r="B369" s="5" t="s">
        <v>59</v>
      </c>
      <c r="C369" s="5" t="s">
        <v>50</v>
      </c>
      <c r="D369" s="5" t="s">
        <v>16</v>
      </c>
      <c r="E369" s="5" t="s">
        <v>20</v>
      </c>
      <c r="F369" s="5" t="s">
        <v>52</v>
      </c>
      <c r="G369" s="5">
        <v>1280</v>
      </c>
    </row>
    <row r="370" spans="1:7" x14ac:dyDescent="0.3">
      <c r="A370" s="3" t="s">
        <v>69</v>
      </c>
      <c r="B370" s="5" t="s">
        <v>59</v>
      </c>
      <c r="C370" s="5" t="s">
        <v>50</v>
      </c>
      <c r="D370" s="5" t="s">
        <v>21</v>
      </c>
      <c r="E370" s="5" t="s">
        <v>22</v>
      </c>
      <c r="F370" s="5" t="s">
        <v>23</v>
      </c>
      <c r="G370" s="5">
        <v>36900275</v>
      </c>
    </row>
    <row r="371" spans="1:7" x14ac:dyDescent="0.3">
      <c r="A371" s="3" t="s">
        <v>69</v>
      </c>
      <c r="B371" s="5" t="s">
        <v>59</v>
      </c>
      <c r="C371" s="5" t="s">
        <v>50</v>
      </c>
      <c r="D371" s="5" t="s">
        <v>21</v>
      </c>
      <c r="E371" s="5" t="s">
        <v>24</v>
      </c>
      <c r="F371" s="5" t="s">
        <v>23</v>
      </c>
      <c r="G371" s="5">
        <v>781764</v>
      </c>
    </row>
    <row r="372" spans="1:7" x14ac:dyDescent="0.3">
      <c r="A372" s="3" t="s">
        <v>69</v>
      </c>
      <c r="B372" s="5" t="s">
        <v>59</v>
      </c>
      <c r="C372" s="5" t="s">
        <v>50</v>
      </c>
      <c r="D372" s="5" t="s">
        <v>21</v>
      </c>
      <c r="E372" s="5" t="s">
        <v>25</v>
      </c>
      <c r="F372" s="5" t="s">
        <v>23</v>
      </c>
      <c r="G372" s="5">
        <v>37682039</v>
      </c>
    </row>
    <row r="373" spans="1:7" x14ac:dyDescent="0.3">
      <c r="A373" s="3" t="s">
        <v>69</v>
      </c>
      <c r="B373" s="5" t="s">
        <v>59</v>
      </c>
      <c r="C373" s="5" t="s">
        <v>50</v>
      </c>
      <c r="D373" s="5" t="s">
        <v>26</v>
      </c>
      <c r="E373" s="5" t="s">
        <v>27</v>
      </c>
      <c r="F373" s="5" t="s">
        <v>28</v>
      </c>
      <c r="G373" s="5">
        <v>3518</v>
      </c>
    </row>
    <row r="374" spans="1:7" x14ac:dyDescent="0.3">
      <c r="A374" s="3" t="s">
        <v>69</v>
      </c>
      <c r="B374" s="5" t="s">
        <v>59</v>
      </c>
      <c r="C374" s="5" t="s">
        <v>50</v>
      </c>
      <c r="D374" s="5" t="s">
        <v>26</v>
      </c>
      <c r="E374" s="5" t="s">
        <v>29</v>
      </c>
      <c r="F374" s="5" t="s">
        <v>28</v>
      </c>
      <c r="G374" s="5">
        <v>91</v>
      </c>
    </row>
    <row r="375" spans="1:7" x14ac:dyDescent="0.3">
      <c r="A375" s="3" t="s">
        <v>69</v>
      </c>
      <c r="B375" s="5" t="s">
        <v>59</v>
      </c>
      <c r="C375" s="5" t="s">
        <v>50</v>
      </c>
      <c r="D375" s="5" t="s">
        <v>26</v>
      </c>
      <c r="E375" s="5" t="s">
        <v>30</v>
      </c>
      <c r="F375" s="5" t="s">
        <v>28</v>
      </c>
      <c r="G375" s="5">
        <v>10</v>
      </c>
    </row>
    <row r="376" spans="1:7" x14ac:dyDescent="0.3">
      <c r="A376" s="3" t="s">
        <v>69</v>
      </c>
      <c r="B376" s="5" t="s">
        <v>59</v>
      </c>
      <c r="C376" s="5" t="s">
        <v>50</v>
      </c>
      <c r="D376" s="5" t="s">
        <v>26</v>
      </c>
      <c r="E376" s="5" t="s">
        <v>53</v>
      </c>
      <c r="F376" s="5" t="s">
        <v>28</v>
      </c>
      <c r="G376" s="5">
        <v>0</v>
      </c>
    </row>
    <row r="377" spans="1:7" x14ac:dyDescent="0.3">
      <c r="A377" s="3" t="s">
        <v>69</v>
      </c>
      <c r="B377" s="5" t="s">
        <v>59</v>
      </c>
      <c r="C377" s="5" t="s">
        <v>50</v>
      </c>
      <c r="D377" s="5" t="s">
        <v>26</v>
      </c>
      <c r="E377" s="5" t="s">
        <v>31</v>
      </c>
      <c r="F377" s="5" t="s">
        <v>28</v>
      </c>
      <c r="G377" s="5">
        <v>185</v>
      </c>
    </row>
    <row r="378" spans="1:7" x14ac:dyDescent="0.3">
      <c r="A378" s="3" t="s">
        <v>69</v>
      </c>
      <c r="B378" s="5" t="s">
        <v>59</v>
      </c>
      <c r="C378" s="5" t="s">
        <v>50</v>
      </c>
      <c r="D378" s="5" t="s">
        <v>26</v>
      </c>
      <c r="E378" s="5" t="s">
        <v>32</v>
      </c>
      <c r="F378" s="5" t="s">
        <v>28</v>
      </c>
      <c r="G378" s="5">
        <v>99229</v>
      </c>
    </row>
    <row r="379" spans="1:7" x14ac:dyDescent="0.3">
      <c r="A379" s="3" t="s">
        <v>69</v>
      </c>
      <c r="B379" s="5" t="s">
        <v>59</v>
      </c>
      <c r="C379" s="5" t="s">
        <v>50</v>
      </c>
      <c r="D379" s="5" t="s">
        <v>26</v>
      </c>
      <c r="E379" s="5" t="s">
        <v>33</v>
      </c>
      <c r="F379" s="5" t="s">
        <v>28</v>
      </c>
      <c r="G379" s="5">
        <v>563013</v>
      </c>
    </row>
    <row r="380" spans="1:7" x14ac:dyDescent="0.3">
      <c r="A380" s="3" t="s">
        <v>69</v>
      </c>
      <c r="B380" s="5" t="s">
        <v>59</v>
      </c>
      <c r="C380" s="5" t="s">
        <v>50</v>
      </c>
      <c r="D380" s="5" t="s">
        <v>26</v>
      </c>
      <c r="E380" s="5" t="s">
        <v>34</v>
      </c>
      <c r="F380" s="5" t="s">
        <v>28</v>
      </c>
      <c r="G380" s="5">
        <v>666046</v>
      </c>
    </row>
    <row r="381" spans="1:7" x14ac:dyDescent="0.3">
      <c r="A381" s="3" t="s">
        <v>69</v>
      </c>
      <c r="B381" s="5" t="s">
        <v>59</v>
      </c>
      <c r="C381" s="5" t="s">
        <v>50</v>
      </c>
      <c r="D381" s="5" t="s">
        <v>26</v>
      </c>
      <c r="E381" s="5" t="s">
        <v>35</v>
      </c>
      <c r="F381" s="5" t="s">
        <v>28</v>
      </c>
      <c r="G381" s="5">
        <v>562805</v>
      </c>
    </row>
    <row r="382" spans="1:7" x14ac:dyDescent="0.3">
      <c r="A382" s="3" t="s">
        <v>69</v>
      </c>
      <c r="B382" s="5" t="s">
        <v>59</v>
      </c>
      <c r="C382" s="5" t="s">
        <v>50</v>
      </c>
      <c r="D382" s="5" t="s">
        <v>26</v>
      </c>
      <c r="E382" s="5" t="s">
        <v>54</v>
      </c>
      <c r="F382" s="5" t="s">
        <v>28</v>
      </c>
      <c r="G382" s="5">
        <v>83624</v>
      </c>
    </row>
    <row r="383" spans="1:7" x14ac:dyDescent="0.3">
      <c r="A383" s="3" t="s">
        <v>69</v>
      </c>
      <c r="B383" s="5" t="s">
        <v>59</v>
      </c>
      <c r="C383" s="5" t="s">
        <v>50</v>
      </c>
      <c r="D383" s="5" t="s">
        <v>26</v>
      </c>
      <c r="E383" s="5" t="s">
        <v>37</v>
      </c>
      <c r="F383" s="5" t="s">
        <v>28</v>
      </c>
      <c r="G383" s="5">
        <v>0</v>
      </c>
    </row>
    <row r="384" spans="1:7" x14ac:dyDescent="0.3">
      <c r="A384" s="3" t="s">
        <v>69</v>
      </c>
      <c r="B384" s="5" t="s">
        <v>59</v>
      </c>
      <c r="C384" s="5" t="s">
        <v>50</v>
      </c>
      <c r="D384" s="5" t="s">
        <v>26</v>
      </c>
      <c r="E384" s="5" t="s">
        <v>38</v>
      </c>
      <c r="F384" s="5" t="s">
        <v>28</v>
      </c>
      <c r="G384" s="5">
        <v>646429</v>
      </c>
    </row>
    <row r="385" spans="1:7" x14ac:dyDescent="0.3">
      <c r="A385" s="3" t="s">
        <v>69</v>
      </c>
      <c r="B385" s="5" t="s">
        <v>59</v>
      </c>
      <c r="C385" s="5" t="s">
        <v>50</v>
      </c>
      <c r="D385" s="5" t="s">
        <v>26</v>
      </c>
      <c r="E385" s="5" t="s">
        <v>39</v>
      </c>
      <c r="F385" s="5" t="s">
        <v>28</v>
      </c>
      <c r="G385" s="5">
        <v>12554</v>
      </c>
    </row>
    <row r="386" spans="1:7" x14ac:dyDescent="0.3">
      <c r="A386" s="3" t="s">
        <v>69</v>
      </c>
      <c r="B386" s="5" t="s">
        <v>59</v>
      </c>
      <c r="C386" s="5" t="s">
        <v>50</v>
      </c>
      <c r="D386" s="5" t="s">
        <v>26</v>
      </c>
      <c r="E386" s="5" t="s">
        <v>40</v>
      </c>
      <c r="F386" s="5" t="s">
        <v>28</v>
      </c>
      <c r="G386" s="5">
        <v>7053</v>
      </c>
    </row>
    <row r="387" spans="1:7" x14ac:dyDescent="0.3">
      <c r="A387" s="3" t="s">
        <v>69</v>
      </c>
      <c r="B387" s="5" t="s">
        <v>59</v>
      </c>
      <c r="C387" s="5" t="s">
        <v>50</v>
      </c>
      <c r="D387" s="5" t="s">
        <v>26</v>
      </c>
      <c r="E387" s="5" t="s">
        <v>55</v>
      </c>
      <c r="F387" s="5" t="s">
        <v>28</v>
      </c>
      <c r="G387" s="5">
        <v>10</v>
      </c>
    </row>
    <row r="388" spans="1:7" x14ac:dyDescent="0.3">
      <c r="A388" s="3" t="s">
        <v>69</v>
      </c>
      <c r="B388" s="5" t="s">
        <v>59</v>
      </c>
      <c r="C388" s="5" t="s">
        <v>50</v>
      </c>
      <c r="D388" s="5" t="s">
        <v>26</v>
      </c>
      <c r="E388" s="5" t="s">
        <v>42</v>
      </c>
      <c r="F388" s="5" t="s">
        <v>28</v>
      </c>
      <c r="G388" s="5">
        <v>19617</v>
      </c>
    </row>
    <row r="389" spans="1:7" x14ac:dyDescent="0.3">
      <c r="A389" s="5" t="s">
        <v>60</v>
      </c>
      <c r="B389" s="3" t="s">
        <v>70</v>
      </c>
      <c r="C389" s="5" t="s">
        <v>8</v>
      </c>
      <c r="D389" s="5" t="s">
        <v>6</v>
      </c>
      <c r="E389" s="5" t="s">
        <v>44</v>
      </c>
      <c r="F389" s="5" t="s">
        <v>45</v>
      </c>
      <c r="G389" s="5">
        <v>1154988</v>
      </c>
    </row>
    <row r="390" spans="1:7" x14ac:dyDescent="0.3">
      <c r="A390" s="5" t="s">
        <v>60</v>
      </c>
      <c r="B390" s="3" t="s">
        <v>70</v>
      </c>
      <c r="C390" s="5" t="s">
        <v>8</v>
      </c>
      <c r="D390" s="5" t="s">
        <v>6</v>
      </c>
      <c r="E390" s="5" t="s">
        <v>46</v>
      </c>
      <c r="F390" s="5" t="s">
        <v>45</v>
      </c>
      <c r="G390" s="5">
        <v>599495</v>
      </c>
    </row>
    <row r="391" spans="1:7" x14ac:dyDescent="0.3">
      <c r="A391" s="5" t="s">
        <v>60</v>
      </c>
      <c r="B391" s="3" t="s">
        <v>70</v>
      </c>
      <c r="C391" s="5" t="s">
        <v>8</v>
      </c>
      <c r="D391" s="5" t="s">
        <v>6</v>
      </c>
      <c r="E391" s="5" t="s">
        <v>57</v>
      </c>
      <c r="F391" s="5" t="s">
        <v>45</v>
      </c>
      <c r="G391" s="5">
        <v>0</v>
      </c>
    </row>
    <row r="392" spans="1:7" x14ac:dyDescent="0.3">
      <c r="A392" s="5" t="s">
        <v>60</v>
      </c>
      <c r="B392" s="3" t="s">
        <v>70</v>
      </c>
      <c r="C392" s="5" t="s">
        <v>8</v>
      </c>
      <c r="D392" s="5" t="s">
        <v>6</v>
      </c>
      <c r="E392" s="5" t="s">
        <v>47</v>
      </c>
      <c r="F392" s="5" t="s">
        <v>45</v>
      </c>
      <c r="G392" s="5">
        <v>1754483</v>
      </c>
    </row>
    <row r="393" spans="1:7" x14ac:dyDescent="0.3">
      <c r="A393" s="5" t="s">
        <v>60</v>
      </c>
      <c r="B393" s="3" t="s">
        <v>70</v>
      </c>
      <c r="C393" s="5" t="s">
        <v>8</v>
      </c>
      <c r="D393" s="5" t="s">
        <v>9</v>
      </c>
      <c r="E393" s="5" t="s">
        <v>48</v>
      </c>
      <c r="F393" s="5" t="s">
        <v>11</v>
      </c>
      <c r="G393" s="5">
        <v>51662</v>
      </c>
    </row>
    <row r="394" spans="1:7" x14ac:dyDescent="0.3">
      <c r="A394" s="5" t="s">
        <v>60</v>
      </c>
      <c r="B394" s="3" t="s">
        <v>70</v>
      </c>
      <c r="C394" s="5" t="s">
        <v>8</v>
      </c>
      <c r="D394" s="5" t="s">
        <v>9</v>
      </c>
      <c r="E394" s="5" t="s">
        <v>49</v>
      </c>
      <c r="F394" s="5" t="s">
        <v>11</v>
      </c>
      <c r="G394" s="5">
        <v>489012</v>
      </c>
    </row>
    <row r="395" spans="1:7" x14ac:dyDescent="0.3">
      <c r="A395" s="5" t="s">
        <v>60</v>
      </c>
      <c r="B395" s="3" t="s">
        <v>70</v>
      </c>
      <c r="C395" s="5" t="s">
        <v>8</v>
      </c>
      <c r="D395" s="5" t="s">
        <v>9</v>
      </c>
      <c r="E395" s="5" t="s">
        <v>10</v>
      </c>
      <c r="F395" s="5" t="s">
        <v>11</v>
      </c>
      <c r="G395" s="5">
        <v>1963735</v>
      </c>
    </row>
    <row r="396" spans="1:7" x14ac:dyDescent="0.3">
      <c r="A396" s="5" t="s">
        <v>60</v>
      </c>
      <c r="B396" s="3" t="s">
        <v>70</v>
      </c>
      <c r="C396" s="5" t="s">
        <v>8</v>
      </c>
      <c r="D396" s="5" t="s">
        <v>9</v>
      </c>
      <c r="E396" s="5" t="s">
        <v>12</v>
      </c>
      <c r="F396" s="5" t="s">
        <v>11</v>
      </c>
      <c r="G396" s="5">
        <v>0</v>
      </c>
    </row>
    <row r="397" spans="1:7" x14ac:dyDescent="0.3">
      <c r="A397" s="5" t="s">
        <v>60</v>
      </c>
      <c r="B397" s="3" t="s">
        <v>70</v>
      </c>
      <c r="C397" s="5" t="s">
        <v>8</v>
      </c>
      <c r="D397" s="5" t="s">
        <v>9</v>
      </c>
      <c r="E397" s="5" t="s">
        <v>13</v>
      </c>
      <c r="F397" s="5" t="s">
        <v>11</v>
      </c>
      <c r="G397" s="5">
        <v>416976</v>
      </c>
    </row>
    <row r="398" spans="1:7" x14ac:dyDescent="0.3">
      <c r="A398" s="5" t="s">
        <v>60</v>
      </c>
      <c r="B398" s="3" t="s">
        <v>70</v>
      </c>
      <c r="C398" s="5" t="s">
        <v>8</v>
      </c>
      <c r="D398" s="5" t="s">
        <v>9</v>
      </c>
      <c r="E398" s="5" t="s">
        <v>14</v>
      </c>
      <c r="F398" s="5" t="s">
        <v>11</v>
      </c>
      <c r="G398" s="5">
        <v>2921385</v>
      </c>
    </row>
    <row r="399" spans="1:7" x14ac:dyDescent="0.3">
      <c r="A399" s="5" t="s">
        <v>60</v>
      </c>
      <c r="B399" s="3" t="s">
        <v>70</v>
      </c>
      <c r="C399" s="5" t="s">
        <v>8</v>
      </c>
      <c r="D399" s="5" t="s">
        <v>9</v>
      </c>
      <c r="E399" s="5" t="s">
        <v>15</v>
      </c>
      <c r="F399" s="5" t="s">
        <v>11</v>
      </c>
      <c r="G399" s="5">
        <v>2549050</v>
      </c>
    </row>
    <row r="400" spans="1:7" x14ac:dyDescent="0.3">
      <c r="A400" s="5" t="s">
        <v>60</v>
      </c>
      <c r="B400" s="3" t="s">
        <v>70</v>
      </c>
      <c r="C400" s="5" t="s">
        <v>8</v>
      </c>
      <c r="D400" s="5" t="s">
        <v>16</v>
      </c>
      <c r="E400" s="5" t="s">
        <v>17</v>
      </c>
      <c r="F400" s="5" t="s">
        <v>52</v>
      </c>
      <c r="G400" s="5">
        <v>247</v>
      </c>
    </row>
    <row r="401" spans="1:7" x14ac:dyDescent="0.3">
      <c r="A401" s="5" t="s">
        <v>60</v>
      </c>
      <c r="B401" s="3" t="s">
        <v>70</v>
      </c>
      <c r="C401" s="5" t="s">
        <v>8</v>
      </c>
      <c r="D401" s="5" t="s">
        <v>16</v>
      </c>
      <c r="E401" s="5" t="s">
        <v>19</v>
      </c>
      <c r="F401" s="5" t="s">
        <v>52</v>
      </c>
      <c r="G401" s="5">
        <v>83</v>
      </c>
    </row>
    <row r="402" spans="1:7" x14ac:dyDescent="0.3">
      <c r="A402" s="5" t="s">
        <v>60</v>
      </c>
      <c r="B402" s="3" t="s">
        <v>70</v>
      </c>
      <c r="C402" s="5" t="s">
        <v>8</v>
      </c>
      <c r="D402" s="5" t="s">
        <v>16</v>
      </c>
      <c r="E402" s="5" t="s">
        <v>20</v>
      </c>
      <c r="F402" s="5" t="s">
        <v>52</v>
      </c>
      <c r="G402" s="5">
        <v>789</v>
      </c>
    </row>
    <row r="403" spans="1:7" x14ac:dyDescent="0.3">
      <c r="A403" s="5" t="s">
        <v>60</v>
      </c>
      <c r="B403" s="3" t="s">
        <v>70</v>
      </c>
      <c r="C403" s="5" t="s">
        <v>8</v>
      </c>
      <c r="D403" s="5" t="s">
        <v>16</v>
      </c>
      <c r="E403" s="5" t="s">
        <v>61</v>
      </c>
      <c r="F403" s="5" t="s">
        <v>62</v>
      </c>
      <c r="G403" s="5">
        <v>100</v>
      </c>
    </row>
    <row r="404" spans="1:7" x14ac:dyDescent="0.3">
      <c r="A404" s="5" t="s">
        <v>60</v>
      </c>
      <c r="B404" s="3" t="s">
        <v>70</v>
      </c>
      <c r="C404" s="5" t="s">
        <v>8</v>
      </c>
      <c r="D404" s="5" t="s">
        <v>21</v>
      </c>
      <c r="E404" s="5" t="s">
        <v>22</v>
      </c>
      <c r="F404" s="5" t="s">
        <v>28</v>
      </c>
      <c r="G404" s="5">
        <v>38407</v>
      </c>
    </row>
    <row r="405" spans="1:7" x14ac:dyDescent="0.3">
      <c r="A405" s="5" t="s">
        <v>60</v>
      </c>
      <c r="B405" s="3" t="s">
        <v>70</v>
      </c>
      <c r="C405" s="5" t="s">
        <v>8</v>
      </c>
      <c r="D405" s="5" t="s">
        <v>21</v>
      </c>
      <c r="E405" s="5" t="s">
        <v>24</v>
      </c>
      <c r="F405" s="5" t="s">
        <v>28</v>
      </c>
      <c r="G405" s="5">
        <v>187633</v>
      </c>
    </row>
    <row r="406" spans="1:7" x14ac:dyDescent="0.3">
      <c r="A406" s="5" t="s">
        <v>60</v>
      </c>
      <c r="B406" s="3" t="s">
        <v>70</v>
      </c>
      <c r="C406" s="5" t="s">
        <v>8</v>
      </c>
      <c r="D406" s="5" t="s">
        <v>21</v>
      </c>
      <c r="E406" s="5" t="s">
        <v>25</v>
      </c>
      <c r="F406" s="5" t="s">
        <v>28</v>
      </c>
      <c r="G406" s="5">
        <v>226040</v>
      </c>
    </row>
    <row r="407" spans="1:7" x14ac:dyDescent="0.3">
      <c r="A407" s="5" t="s">
        <v>60</v>
      </c>
      <c r="B407" s="3" t="s">
        <v>70</v>
      </c>
      <c r="C407" s="5" t="s">
        <v>8</v>
      </c>
      <c r="D407" s="5" t="s">
        <v>26</v>
      </c>
      <c r="E407" s="5" t="s">
        <v>27</v>
      </c>
      <c r="F407" s="5" t="s">
        <v>28</v>
      </c>
      <c r="G407" s="5">
        <v>1710</v>
      </c>
    </row>
    <row r="408" spans="1:7" x14ac:dyDescent="0.3">
      <c r="A408" s="5" t="s">
        <v>60</v>
      </c>
      <c r="B408" s="3" t="s">
        <v>70</v>
      </c>
      <c r="C408" s="5" t="s">
        <v>8</v>
      </c>
      <c r="D408" s="5" t="s">
        <v>26</v>
      </c>
      <c r="E408" s="5" t="s">
        <v>29</v>
      </c>
      <c r="F408" s="5" t="s">
        <v>28</v>
      </c>
      <c r="G408" s="5">
        <v>77</v>
      </c>
    </row>
    <row r="409" spans="1:7" x14ac:dyDescent="0.3">
      <c r="A409" s="5" t="s">
        <v>60</v>
      </c>
      <c r="B409" s="3" t="s">
        <v>70</v>
      </c>
      <c r="C409" s="5" t="s">
        <v>8</v>
      </c>
      <c r="D409" s="5" t="s">
        <v>26</v>
      </c>
      <c r="E409" s="5" t="s">
        <v>30</v>
      </c>
      <c r="F409" s="5" t="s">
        <v>28</v>
      </c>
      <c r="G409" s="5">
        <v>111</v>
      </c>
    </row>
    <row r="410" spans="1:7" x14ac:dyDescent="0.3">
      <c r="A410" s="5" t="s">
        <v>60</v>
      </c>
      <c r="B410" s="3" t="s">
        <v>70</v>
      </c>
      <c r="C410" s="5" t="s">
        <v>8</v>
      </c>
      <c r="D410" s="5" t="s">
        <v>26</v>
      </c>
      <c r="E410" s="5" t="s">
        <v>53</v>
      </c>
      <c r="F410" s="5" t="s">
        <v>28</v>
      </c>
      <c r="G410" s="5">
        <v>620</v>
      </c>
    </row>
    <row r="411" spans="1:7" x14ac:dyDescent="0.3">
      <c r="A411" s="5" t="s">
        <v>60</v>
      </c>
      <c r="B411" s="3" t="s">
        <v>70</v>
      </c>
      <c r="C411" s="5" t="s">
        <v>8</v>
      </c>
      <c r="D411" s="5" t="s">
        <v>26</v>
      </c>
      <c r="E411" s="5" t="s">
        <v>31</v>
      </c>
      <c r="F411" s="5" t="s">
        <v>28</v>
      </c>
      <c r="G411" s="5">
        <v>70</v>
      </c>
    </row>
    <row r="412" spans="1:7" x14ac:dyDescent="0.3">
      <c r="A412" s="5" t="s">
        <v>60</v>
      </c>
      <c r="B412" s="3" t="s">
        <v>70</v>
      </c>
      <c r="C412" s="5" t="s">
        <v>8</v>
      </c>
      <c r="D412" s="5" t="s">
        <v>26</v>
      </c>
      <c r="E412" s="5" t="s">
        <v>32</v>
      </c>
      <c r="F412" s="5" t="s">
        <v>28</v>
      </c>
      <c r="G412" s="5">
        <v>3592</v>
      </c>
    </row>
    <row r="413" spans="1:7" x14ac:dyDescent="0.3">
      <c r="A413" s="5" t="s">
        <v>60</v>
      </c>
      <c r="B413" s="3" t="s">
        <v>70</v>
      </c>
      <c r="C413" s="5" t="s">
        <v>8</v>
      </c>
      <c r="D413" s="5" t="s">
        <v>26</v>
      </c>
      <c r="E413" s="5" t="s">
        <v>33</v>
      </c>
      <c r="F413" s="5" t="s">
        <v>28</v>
      </c>
      <c r="G413" s="5">
        <v>84290</v>
      </c>
    </row>
    <row r="414" spans="1:7" x14ac:dyDescent="0.3">
      <c r="A414" s="5" t="s">
        <v>60</v>
      </c>
      <c r="B414" s="3" t="s">
        <v>70</v>
      </c>
      <c r="C414" s="5" t="s">
        <v>8</v>
      </c>
      <c r="D414" s="5" t="s">
        <v>26</v>
      </c>
      <c r="E414" s="5" t="s">
        <v>34</v>
      </c>
      <c r="F414" s="5" t="s">
        <v>28</v>
      </c>
      <c r="G414" s="5">
        <v>90470</v>
      </c>
    </row>
    <row r="415" spans="1:7" x14ac:dyDescent="0.3">
      <c r="A415" s="5" t="s">
        <v>60</v>
      </c>
      <c r="B415" s="3" t="s">
        <v>70</v>
      </c>
      <c r="C415" s="5" t="s">
        <v>8</v>
      </c>
      <c r="D415" s="5" t="s">
        <v>26</v>
      </c>
      <c r="E415" s="5" t="s">
        <v>35</v>
      </c>
      <c r="F415" s="5" t="s">
        <v>28</v>
      </c>
      <c r="G415" s="5">
        <v>45518</v>
      </c>
    </row>
    <row r="416" spans="1:7" x14ac:dyDescent="0.3">
      <c r="A416" s="5" t="s">
        <v>60</v>
      </c>
      <c r="B416" s="3" t="s">
        <v>70</v>
      </c>
      <c r="C416" s="5" t="s">
        <v>8</v>
      </c>
      <c r="D416" s="5" t="s">
        <v>26</v>
      </c>
      <c r="E416" s="5" t="s">
        <v>54</v>
      </c>
      <c r="F416" s="5" t="s">
        <v>28</v>
      </c>
      <c r="G416" s="5">
        <v>0</v>
      </c>
    </row>
    <row r="417" spans="1:7" x14ac:dyDescent="0.3">
      <c r="A417" s="5" t="s">
        <v>60</v>
      </c>
      <c r="B417" s="3" t="s">
        <v>70</v>
      </c>
      <c r="C417" s="5" t="s">
        <v>8</v>
      </c>
      <c r="D417" s="5" t="s">
        <v>26</v>
      </c>
      <c r="E417" s="5" t="s">
        <v>37</v>
      </c>
      <c r="F417" s="5" t="s">
        <v>28</v>
      </c>
      <c r="G417" s="5">
        <v>0</v>
      </c>
    </row>
    <row r="418" spans="1:7" x14ac:dyDescent="0.3">
      <c r="A418" s="5" t="s">
        <v>60</v>
      </c>
      <c r="B418" s="3" t="s">
        <v>70</v>
      </c>
      <c r="C418" s="5" t="s">
        <v>8</v>
      </c>
      <c r="D418" s="5" t="s">
        <v>26</v>
      </c>
      <c r="E418" s="5" t="s">
        <v>38</v>
      </c>
      <c r="F418" s="5" t="s">
        <v>28</v>
      </c>
      <c r="G418" s="5">
        <v>45518</v>
      </c>
    </row>
    <row r="419" spans="1:7" x14ac:dyDescent="0.3">
      <c r="A419" s="5" t="s">
        <v>60</v>
      </c>
      <c r="B419" s="3" t="s">
        <v>70</v>
      </c>
      <c r="C419" s="5" t="s">
        <v>8</v>
      </c>
      <c r="D419" s="5" t="s">
        <v>26</v>
      </c>
      <c r="E419" s="5" t="s">
        <v>63</v>
      </c>
      <c r="F419" s="5" t="s">
        <v>28</v>
      </c>
      <c r="G419" s="5">
        <v>48210</v>
      </c>
    </row>
    <row r="420" spans="1:7" x14ac:dyDescent="0.3">
      <c r="A420" s="5" t="s">
        <v>60</v>
      </c>
      <c r="B420" s="3" t="s">
        <v>70</v>
      </c>
      <c r="C420" s="5" t="s">
        <v>8</v>
      </c>
      <c r="D420" s="5" t="s">
        <v>26</v>
      </c>
      <c r="E420" s="5" t="s">
        <v>64</v>
      </c>
      <c r="F420" s="5" t="s">
        <v>28</v>
      </c>
      <c r="G420" s="5">
        <v>0</v>
      </c>
    </row>
    <row r="421" spans="1:7" x14ac:dyDescent="0.3">
      <c r="A421" s="5" t="s">
        <v>60</v>
      </c>
      <c r="B421" s="3" t="s">
        <v>70</v>
      </c>
      <c r="C421" s="5" t="s">
        <v>8</v>
      </c>
      <c r="D421" s="5" t="s">
        <v>26</v>
      </c>
      <c r="E421" s="5" t="s">
        <v>41</v>
      </c>
      <c r="F421" s="5" t="s">
        <v>28</v>
      </c>
      <c r="G421" s="5">
        <v>0</v>
      </c>
    </row>
    <row r="422" spans="1:7" x14ac:dyDescent="0.3">
      <c r="A422" s="5" t="s">
        <v>60</v>
      </c>
      <c r="B422" s="3" t="s">
        <v>70</v>
      </c>
      <c r="C422" s="5" t="s">
        <v>8</v>
      </c>
      <c r="D422" s="5" t="s">
        <v>26</v>
      </c>
      <c r="E422" s="5" t="s">
        <v>42</v>
      </c>
      <c r="F422" s="5" t="s">
        <v>28</v>
      </c>
      <c r="G422" s="5">
        <v>48210</v>
      </c>
    </row>
    <row r="423" spans="1:7" x14ac:dyDescent="0.3">
      <c r="A423" s="5" t="s">
        <v>60</v>
      </c>
      <c r="B423" s="3" t="s">
        <v>70</v>
      </c>
      <c r="C423" s="5" t="s">
        <v>43</v>
      </c>
      <c r="D423" s="5" t="s">
        <v>6</v>
      </c>
      <c r="E423" s="5" t="s">
        <v>44</v>
      </c>
      <c r="F423" s="5" t="s">
        <v>45</v>
      </c>
      <c r="G423" s="5">
        <v>1229475</v>
      </c>
    </row>
    <row r="424" spans="1:7" x14ac:dyDescent="0.3">
      <c r="A424" s="5" t="s">
        <v>60</v>
      </c>
      <c r="B424" s="3" t="s">
        <v>70</v>
      </c>
      <c r="C424" s="5" t="s">
        <v>43</v>
      </c>
      <c r="D424" s="5" t="s">
        <v>6</v>
      </c>
      <c r="E424" s="5" t="s">
        <v>46</v>
      </c>
      <c r="F424" s="5" t="s">
        <v>45</v>
      </c>
      <c r="G424" s="5">
        <v>654171</v>
      </c>
    </row>
    <row r="425" spans="1:7" x14ac:dyDescent="0.3">
      <c r="A425" s="5" t="s">
        <v>60</v>
      </c>
      <c r="B425" s="3" t="s">
        <v>70</v>
      </c>
      <c r="C425" s="5" t="s">
        <v>43</v>
      </c>
      <c r="D425" s="5" t="s">
        <v>6</v>
      </c>
      <c r="E425" s="5" t="s">
        <v>57</v>
      </c>
      <c r="F425" s="5" t="s">
        <v>45</v>
      </c>
      <c r="G425" s="5">
        <v>0</v>
      </c>
    </row>
    <row r="426" spans="1:7" x14ac:dyDescent="0.3">
      <c r="A426" s="5" t="s">
        <v>60</v>
      </c>
      <c r="B426" s="3" t="s">
        <v>70</v>
      </c>
      <c r="C426" s="5" t="s">
        <v>43</v>
      </c>
      <c r="D426" s="5" t="s">
        <v>6</v>
      </c>
      <c r="E426" s="5" t="s">
        <v>47</v>
      </c>
      <c r="F426" s="5" t="s">
        <v>45</v>
      </c>
      <c r="G426" s="5">
        <v>1883646</v>
      </c>
    </row>
    <row r="427" spans="1:7" x14ac:dyDescent="0.3">
      <c r="A427" s="5" t="s">
        <v>60</v>
      </c>
      <c r="B427" s="3" t="s">
        <v>70</v>
      </c>
      <c r="C427" s="5" t="s">
        <v>43</v>
      </c>
      <c r="D427" s="5" t="s">
        <v>9</v>
      </c>
      <c r="E427" s="5" t="s">
        <v>48</v>
      </c>
      <c r="F427" s="5" t="s">
        <v>11</v>
      </c>
      <c r="G427" s="5">
        <v>53801</v>
      </c>
    </row>
    <row r="428" spans="1:7" x14ac:dyDescent="0.3">
      <c r="A428" s="5" t="s">
        <v>60</v>
      </c>
      <c r="B428" s="3" t="s">
        <v>70</v>
      </c>
      <c r="C428" s="5" t="s">
        <v>43</v>
      </c>
      <c r="D428" s="5" t="s">
        <v>9</v>
      </c>
      <c r="E428" s="5" t="s">
        <v>49</v>
      </c>
      <c r="F428" s="5" t="s">
        <v>11</v>
      </c>
      <c r="G428" s="5">
        <v>504960</v>
      </c>
    </row>
    <row r="429" spans="1:7" x14ac:dyDescent="0.3">
      <c r="A429" s="5" t="s">
        <v>60</v>
      </c>
      <c r="B429" s="3" t="s">
        <v>70</v>
      </c>
      <c r="C429" s="5" t="s">
        <v>43</v>
      </c>
      <c r="D429" s="5" t="s">
        <v>9</v>
      </c>
      <c r="E429" s="5" t="s">
        <v>10</v>
      </c>
      <c r="F429" s="5" t="s">
        <v>11</v>
      </c>
      <c r="G429" s="5">
        <v>2817246</v>
      </c>
    </row>
    <row r="430" spans="1:7" x14ac:dyDescent="0.3">
      <c r="A430" s="5" t="s">
        <v>60</v>
      </c>
      <c r="B430" s="3" t="s">
        <v>70</v>
      </c>
      <c r="C430" s="5" t="s">
        <v>43</v>
      </c>
      <c r="D430" s="5" t="s">
        <v>9</v>
      </c>
      <c r="E430" s="5" t="s">
        <v>12</v>
      </c>
      <c r="F430" s="5" t="s">
        <v>11</v>
      </c>
      <c r="G430" s="5">
        <v>0</v>
      </c>
    </row>
    <row r="431" spans="1:7" x14ac:dyDescent="0.3">
      <c r="A431" s="5" t="s">
        <v>60</v>
      </c>
      <c r="B431" s="3" t="s">
        <v>70</v>
      </c>
      <c r="C431" s="5" t="s">
        <v>43</v>
      </c>
      <c r="D431" s="5" t="s">
        <v>9</v>
      </c>
      <c r="E431" s="5" t="s">
        <v>13</v>
      </c>
      <c r="F431" s="5" t="s">
        <v>11</v>
      </c>
      <c r="G431" s="5">
        <v>649036</v>
      </c>
    </row>
    <row r="432" spans="1:7" x14ac:dyDescent="0.3">
      <c r="A432" s="5" t="s">
        <v>60</v>
      </c>
      <c r="B432" s="3" t="s">
        <v>70</v>
      </c>
      <c r="C432" s="5" t="s">
        <v>43</v>
      </c>
      <c r="D432" s="5" t="s">
        <v>9</v>
      </c>
      <c r="E432" s="5" t="s">
        <v>14</v>
      </c>
      <c r="F432" s="5" t="s">
        <v>11</v>
      </c>
      <c r="G432" s="5">
        <v>4025043</v>
      </c>
    </row>
    <row r="433" spans="1:7" x14ac:dyDescent="0.3">
      <c r="A433" s="5" t="s">
        <v>60</v>
      </c>
      <c r="B433" s="3" t="s">
        <v>70</v>
      </c>
      <c r="C433" s="5" t="s">
        <v>43</v>
      </c>
      <c r="D433" s="5" t="s">
        <v>9</v>
      </c>
      <c r="E433" s="5" t="s">
        <v>15</v>
      </c>
      <c r="F433" s="5" t="s">
        <v>11</v>
      </c>
      <c r="G433" s="5">
        <v>3829298</v>
      </c>
    </row>
    <row r="434" spans="1:7" x14ac:dyDescent="0.3">
      <c r="A434" s="5" t="s">
        <v>60</v>
      </c>
      <c r="B434" s="3" t="s">
        <v>70</v>
      </c>
      <c r="C434" s="5" t="s">
        <v>43</v>
      </c>
      <c r="D434" s="5" t="s">
        <v>16</v>
      </c>
      <c r="E434" s="5" t="s">
        <v>17</v>
      </c>
      <c r="F434" s="5" t="s">
        <v>52</v>
      </c>
      <c r="G434" s="5">
        <v>92</v>
      </c>
    </row>
    <row r="435" spans="1:7" x14ac:dyDescent="0.3">
      <c r="A435" s="5" t="s">
        <v>60</v>
      </c>
      <c r="B435" s="3" t="s">
        <v>70</v>
      </c>
      <c r="C435" s="5" t="s">
        <v>43</v>
      </c>
      <c r="D435" s="5" t="s">
        <v>16</v>
      </c>
      <c r="E435" s="5" t="s">
        <v>19</v>
      </c>
      <c r="F435" s="5" t="s">
        <v>52</v>
      </c>
      <c r="G435" s="5">
        <v>26</v>
      </c>
    </row>
    <row r="436" spans="1:7" x14ac:dyDescent="0.3">
      <c r="A436" s="5" t="s">
        <v>60</v>
      </c>
      <c r="B436" s="3" t="s">
        <v>70</v>
      </c>
      <c r="C436" s="5" t="s">
        <v>43</v>
      </c>
      <c r="D436" s="5" t="s">
        <v>16</v>
      </c>
      <c r="E436" s="5" t="s">
        <v>20</v>
      </c>
      <c r="F436" s="5" t="s">
        <v>52</v>
      </c>
      <c r="G436" s="5">
        <v>577</v>
      </c>
    </row>
    <row r="437" spans="1:7" x14ac:dyDescent="0.3">
      <c r="A437" s="5" t="s">
        <v>60</v>
      </c>
      <c r="B437" s="3" t="s">
        <v>70</v>
      </c>
      <c r="C437" s="5" t="s">
        <v>43</v>
      </c>
      <c r="D437" s="5" t="s">
        <v>16</v>
      </c>
      <c r="E437" s="5" t="s">
        <v>61</v>
      </c>
      <c r="F437" s="5" t="s">
        <v>62</v>
      </c>
      <c r="G437" s="5">
        <v>88</v>
      </c>
    </row>
    <row r="438" spans="1:7" x14ac:dyDescent="0.3">
      <c r="A438" s="5" t="s">
        <v>60</v>
      </c>
      <c r="B438" s="3" t="s">
        <v>70</v>
      </c>
      <c r="C438" s="5" t="s">
        <v>43</v>
      </c>
      <c r="D438" s="5" t="s">
        <v>21</v>
      </c>
      <c r="E438" s="5" t="s">
        <v>22</v>
      </c>
      <c r="F438" s="5" t="s">
        <v>28</v>
      </c>
      <c r="G438" s="5">
        <v>42200</v>
      </c>
    </row>
    <row r="439" spans="1:7" x14ac:dyDescent="0.3">
      <c r="A439" s="5" t="s">
        <v>60</v>
      </c>
      <c r="B439" s="3" t="s">
        <v>70</v>
      </c>
      <c r="C439" s="5" t="s">
        <v>43</v>
      </c>
      <c r="D439" s="5" t="s">
        <v>21</v>
      </c>
      <c r="E439" s="5" t="s">
        <v>24</v>
      </c>
      <c r="F439" s="5" t="s">
        <v>28</v>
      </c>
      <c r="G439" s="5">
        <v>185394</v>
      </c>
    </row>
    <row r="440" spans="1:7" x14ac:dyDescent="0.3">
      <c r="A440" s="5" t="s">
        <v>60</v>
      </c>
      <c r="B440" s="3" t="s">
        <v>70</v>
      </c>
      <c r="C440" s="5" t="s">
        <v>43</v>
      </c>
      <c r="D440" s="5" t="s">
        <v>21</v>
      </c>
      <c r="E440" s="5" t="s">
        <v>25</v>
      </c>
      <c r="F440" s="5" t="s">
        <v>28</v>
      </c>
      <c r="G440" s="5">
        <v>227594</v>
      </c>
    </row>
    <row r="441" spans="1:7" x14ac:dyDescent="0.3">
      <c r="A441" s="5" t="s">
        <v>60</v>
      </c>
      <c r="B441" s="3" t="s">
        <v>70</v>
      </c>
      <c r="C441" s="5" t="s">
        <v>43</v>
      </c>
      <c r="D441" s="5" t="s">
        <v>26</v>
      </c>
      <c r="E441" s="5" t="s">
        <v>27</v>
      </c>
      <c r="F441" s="5" t="s">
        <v>28</v>
      </c>
      <c r="G441" s="5">
        <v>2163</v>
      </c>
    </row>
    <row r="442" spans="1:7" x14ac:dyDescent="0.3">
      <c r="A442" s="5" t="s">
        <v>60</v>
      </c>
      <c r="B442" s="3" t="s">
        <v>70</v>
      </c>
      <c r="C442" s="5" t="s">
        <v>43</v>
      </c>
      <c r="D442" s="5" t="s">
        <v>26</v>
      </c>
      <c r="E442" s="5" t="s">
        <v>29</v>
      </c>
      <c r="F442" s="5" t="s">
        <v>28</v>
      </c>
      <c r="G442" s="5">
        <v>25</v>
      </c>
    </row>
    <row r="443" spans="1:7" x14ac:dyDescent="0.3">
      <c r="A443" s="5" t="s">
        <v>60</v>
      </c>
      <c r="B443" s="3" t="s">
        <v>70</v>
      </c>
      <c r="C443" s="5" t="s">
        <v>43</v>
      </c>
      <c r="D443" s="5" t="s">
        <v>26</v>
      </c>
      <c r="E443" s="5" t="s">
        <v>30</v>
      </c>
      <c r="F443" s="5" t="s">
        <v>28</v>
      </c>
      <c r="G443" s="5">
        <v>43</v>
      </c>
    </row>
    <row r="444" spans="1:7" x14ac:dyDescent="0.3">
      <c r="A444" s="5" t="s">
        <v>60</v>
      </c>
      <c r="B444" s="3" t="s">
        <v>70</v>
      </c>
      <c r="C444" s="5" t="s">
        <v>43</v>
      </c>
      <c r="D444" s="5" t="s">
        <v>26</v>
      </c>
      <c r="E444" s="5" t="s">
        <v>53</v>
      </c>
      <c r="F444" s="5" t="s">
        <v>28</v>
      </c>
      <c r="G444" s="5">
        <v>3727</v>
      </c>
    </row>
    <row r="445" spans="1:7" x14ac:dyDescent="0.3">
      <c r="A445" s="5" t="s">
        <v>60</v>
      </c>
      <c r="B445" s="3" t="s">
        <v>70</v>
      </c>
      <c r="C445" s="5" t="s">
        <v>43</v>
      </c>
      <c r="D445" s="5" t="s">
        <v>26</v>
      </c>
      <c r="E445" s="5" t="s">
        <v>31</v>
      </c>
      <c r="F445" s="5" t="s">
        <v>28</v>
      </c>
      <c r="G445" s="5">
        <v>157</v>
      </c>
    </row>
    <row r="446" spans="1:7" x14ac:dyDescent="0.3">
      <c r="A446" s="5" t="s">
        <v>60</v>
      </c>
      <c r="B446" s="3" t="s">
        <v>70</v>
      </c>
      <c r="C446" s="5" t="s">
        <v>43</v>
      </c>
      <c r="D446" s="5" t="s">
        <v>26</v>
      </c>
      <c r="E446" s="5" t="s">
        <v>32</v>
      </c>
      <c r="F446" s="5" t="s">
        <v>28</v>
      </c>
      <c r="G446" s="5">
        <v>4614</v>
      </c>
    </row>
    <row r="447" spans="1:7" x14ac:dyDescent="0.3">
      <c r="A447" s="5" t="s">
        <v>60</v>
      </c>
      <c r="B447" s="3" t="s">
        <v>70</v>
      </c>
      <c r="C447" s="5" t="s">
        <v>43</v>
      </c>
      <c r="D447" s="5" t="s">
        <v>26</v>
      </c>
      <c r="E447" s="5" t="s">
        <v>33</v>
      </c>
      <c r="F447" s="5" t="s">
        <v>28</v>
      </c>
      <c r="G447" s="5">
        <v>89042</v>
      </c>
    </row>
    <row r="448" spans="1:7" x14ac:dyDescent="0.3">
      <c r="A448" s="5" t="s">
        <v>60</v>
      </c>
      <c r="B448" s="3" t="s">
        <v>70</v>
      </c>
      <c r="C448" s="5" t="s">
        <v>43</v>
      </c>
      <c r="D448" s="5" t="s">
        <v>26</v>
      </c>
      <c r="E448" s="5" t="s">
        <v>34</v>
      </c>
      <c r="F448" s="5" t="s">
        <v>28</v>
      </c>
      <c r="G448" s="5">
        <v>99744</v>
      </c>
    </row>
    <row r="449" spans="1:7" x14ac:dyDescent="0.3">
      <c r="A449" s="5" t="s">
        <v>60</v>
      </c>
      <c r="B449" s="3" t="s">
        <v>70</v>
      </c>
      <c r="C449" s="5" t="s">
        <v>43</v>
      </c>
      <c r="D449" s="5" t="s">
        <v>26</v>
      </c>
      <c r="E449" s="5" t="s">
        <v>35</v>
      </c>
      <c r="F449" s="5" t="s">
        <v>28</v>
      </c>
      <c r="G449" s="5">
        <v>48321</v>
      </c>
    </row>
    <row r="450" spans="1:7" x14ac:dyDescent="0.3">
      <c r="A450" s="5" t="s">
        <v>60</v>
      </c>
      <c r="B450" s="3" t="s">
        <v>70</v>
      </c>
      <c r="C450" s="5" t="s">
        <v>43</v>
      </c>
      <c r="D450" s="5" t="s">
        <v>26</v>
      </c>
      <c r="E450" s="5" t="s">
        <v>54</v>
      </c>
      <c r="F450" s="5" t="s">
        <v>28</v>
      </c>
      <c r="G450" s="5">
        <v>0</v>
      </c>
    </row>
    <row r="451" spans="1:7" x14ac:dyDescent="0.3">
      <c r="A451" s="5" t="s">
        <v>60</v>
      </c>
      <c r="B451" s="3" t="s">
        <v>70</v>
      </c>
      <c r="C451" s="5" t="s">
        <v>43</v>
      </c>
      <c r="D451" s="5" t="s">
        <v>26</v>
      </c>
      <c r="E451" s="5" t="s">
        <v>37</v>
      </c>
      <c r="F451" s="5" t="s">
        <v>28</v>
      </c>
      <c r="G451" s="5">
        <v>0</v>
      </c>
    </row>
    <row r="452" spans="1:7" x14ac:dyDescent="0.3">
      <c r="A452" s="5" t="s">
        <v>60</v>
      </c>
      <c r="B452" s="3" t="s">
        <v>70</v>
      </c>
      <c r="C452" s="5" t="s">
        <v>43</v>
      </c>
      <c r="D452" s="5" t="s">
        <v>26</v>
      </c>
      <c r="E452" s="5" t="s">
        <v>38</v>
      </c>
      <c r="F452" s="5" t="s">
        <v>28</v>
      </c>
      <c r="G452" s="5">
        <v>48321</v>
      </c>
    </row>
    <row r="453" spans="1:7" x14ac:dyDescent="0.3">
      <c r="A453" s="5" t="s">
        <v>60</v>
      </c>
      <c r="B453" s="3" t="s">
        <v>70</v>
      </c>
      <c r="C453" s="5" t="s">
        <v>43</v>
      </c>
      <c r="D453" s="5" t="s">
        <v>26</v>
      </c>
      <c r="E453" s="5" t="s">
        <v>63</v>
      </c>
      <c r="F453" s="5" t="s">
        <v>28</v>
      </c>
      <c r="G453" s="5">
        <v>49887</v>
      </c>
    </row>
    <row r="454" spans="1:7" x14ac:dyDescent="0.3">
      <c r="A454" s="5" t="s">
        <v>60</v>
      </c>
      <c r="B454" s="3" t="s">
        <v>70</v>
      </c>
      <c r="C454" s="5" t="s">
        <v>43</v>
      </c>
      <c r="D454" s="5" t="s">
        <v>26</v>
      </c>
      <c r="E454" s="5" t="s">
        <v>64</v>
      </c>
      <c r="F454" s="5" t="s">
        <v>28</v>
      </c>
      <c r="G454" s="5">
        <v>0</v>
      </c>
    </row>
    <row r="455" spans="1:7" x14ac:dyDescent="0.3">
      <c r="A455" s="5" t="s">
        <v>60</v>
      </c>
      <c r="B455" s="3" t="s">
        <v>70</v>
      </c>
      <c r="C455" s="5" t="s">
        <v>43</v>
      </c>
      <c r="D455" s="5" t="s">
        <v>26</v>
      </c>
      <c r="E455" s="5" t="s">
        <v>41</v>
      </c>
      <c r="F455" s="5" t="s">
        <v>28</v>
      </c>
      <c r="G455" s="5">
        <v>0</v>
      </c>
    </row>
    <row r="456" spans="1:7" x14ac:dyDescent="0.3">
      <c r="A456" s="5" t="s">
        <v>60</v>
      </c>
      <c r="B456" s="3" t="s">
        <v>70</v>
      </c>
      <c r="C456" s="5" t="s">
        <v>43</v>
      </c>
      <c r="D456" s="5" t="s">
        <v>26</v>
      </c>
      <c r="E456" s="5" t="s">
        <v>42</v>
      </c>
      <c r="F456" s="5" t="s">
        <v>28</v>
      </c>
      <c r="G456" s="5">
        <v>49887</v>
      </c>
    </row>
    <row r="457" spans="1:7" x14ac:dyDescent="0.3">
      <c r="A457" s="5" t="s">
        <v>60</v>
      </c>
      <c r="B457" s="3" t="s">
        <v>70</v>
      </c>
      <c r="C457" s="5" t="s">
        <v>50</v>
      </c>
      <c r="D457" s="5" t="s">
        <v>6</v>
      </c>
      <c r="E457" s="5" t="s">
        <v>44</v>
      </c>
      <c r="F457" s="5" t="s">
        <v>45</v>
      </c>
      <c r="G457" s="5">
        <v>1239502</v>
      </c>
    </row>
    <row r="458" spans="1:7" x14ac:dyDescent="0.3">
      <c r="A458" s="5" t="s">
        <v>60</v>
      </c>
      <c r="B458" s="3" t="s">
        <v>70</v>
      </c>
      <c r="C458" s="5" t="s">
        <v>50</v>
      </c>
      <c r="D458" s="5" t="s">
        <v>6</v>
      </c>
      <c r="E458" s="5" t="s">
        <v>46</v>
      </c>
      <c r="F458" s="5" t="s">
        <v>45</v>
      </c>
      <c r="G458" s="5">
        <v>672786</v>
      </c>
    </row>
    <row r="459" spans="1:7" x14ac:dyDescent="0.3">
      <c r="A459" s="5" t="s">
        <v>60</v>
      </c>
      <c r="B459" s="3" t="s">
        <v>70</v>
      </c>
      <c r="C459" s="5" t="s">
        <v>50</v>
      </c>
      <c r="D459" s="5" t="s">
        <v>6</v>
      </c>
      <c r="E459" s="5" t="s">
        <v>57</v>
      </c>
      <c r="F459" s="5" t="s">
        <v>45</v>
      </c>
      <c r="G459" s="5">
        <v>0</v>
      </c>
    </row>
    <row r="460" spans="1:7" x14ac:dyDescent="0.3">
      <c r="A460" s="5" t="s">
        <v>60</v>
      </c>
      <c r="B460" s="3" t="s">
        <v>70</v>
      </c>
      <c r="C460" s="5" t="s">
        <v>50</v>
      </c>
      <c r="D460" s="5" t="s">
        <v>6</v>
      </c>
      <c r="E460" s="5" t="s">
        <v>47</v>
      </c>
      <c r="F460" s="5" t="s">
        <v>45</v>
      </c>
      <c r="G460" s="5">
        <v>1911748</v>
      </c>
    </row>
    <row r="461" spans="1:7" x14ac:dyDescent="0.3">
      <c r="A461" s="5" t="s">
        <v>60</v>
      </c>
      <c r="B461" s="3" t="s">
        <v>70</v>
      </c>
      <c r="C461" s="5" t="s">
        <v>50</v>
      </c>
      <c r="D461" s="5" t="s">
        <v>9</v>
      </c>
      <c r="E461" s="5" t="s">
        <v>48</v>
      </c>
      <c r="F461" s="5" t="s">
        <v>11</v>
      </c>
      <c r="G461" s="5">
        <v>169577</v>
      </c>
    </row>
    <row r="462" spans="1:7" x14ac:dyDescent="0.3">
      <c r="A462" s="5" t="s">
        <v>60</v>
      </c>
      <c r="B462" s="3" t="s">
        <v>70</v>
      </c>
      <c r="C462" s="5" t="s">
        <v>50</v>
      </c>
      <c r="D462" s="5" t="s">
        <v>9</v>
      </c>
      <c r="E462" s="5" t="s">
        <v>49</v>
      </c>
      <c r="F462" s="5" t="s">
        <v>11</v>
      </c>
      <c r="G462" s="5">
        <v>571963</v>
      </c>
    </row>
    <row r="463" spans="1:7" x14ac:dyDescent="0.3">
      <c r="A463" s="5" t="s">
        <v>60</v>
      </c>
      <c r="B463" s="3" t="s">
        <v>70</v>
      </c>
      <c r="C463" s="5" t="s">
        <v>50</v>
      </c>
      <c r="D463" s="5" t="s">
        <v>9</v>
      </c>
      <c r="E463" s="5" t="s">
        <v>10</v>
      </c>
      <c r="F463" s="5" t="s">
        <v>11</v>
      </c>
      <c r="G463" s="5">
        <v>2342418</v>
      </c>
    </row>
    <row r="464" spans="1:7" x14ac:dyDescent="0.3">
      <c r="A464" s="5" t="s">
        <v>60</v>
      </c>
      <c r="B464" s="3" t="s">
        <v>70</v>
      </c>
      <c r="C464" s="5" t="s">
        <v>50</v>
      </c>
      <c r="D464" s="5" t="s">
        <v>9</v>
      </c>
      <c r="E464" s="5" t="s">
        <v>12</v>
      </c>
      <c r="F464" s="5" t="s">
        <v>11</v>
      </c>
      <c r="G464" s="5">
        <v>0</v>
      </c>
    </row>
    <row r="465" spans="1:7" x14ac:dyDescent="0.3">
      <c r="A465" s="5" t="s">
        <v>60</v>
      </c>
      <c r="B465" s="3" t="s">
        <v>70</v>
      </c>
      <c r="C465" s="5" t="s">
        <v>50</v>
      </c>
      <c r="D465" s="5" t="s">
        <v>9</v>
      </c>
      <c r="E465" s="5" t="s">
        <v>13</v>
      </c>
      <c r="F465" s="5" t="s">
        <v>11</v>
      </c>
      <c r="G465" s="5">
        <v>0</v>
      </c>
    </row>
    <row r="466" spans="1:7" x14ac:dyDescent="0.3">
      <c r="A466" s="5" t="s">
        <v>60</v>
      </c>
      <c r="B466" s="3" t="s">
        <v>70</v>
      </c>
      <c r="C466" s="5" t="s">
        <v>50</v>
      </c>
      <c r="D466" s="5" t="s">
        <v>9</v>
      </c>
      <c r="E466" s="5" t="s">
        <v>14</v>
      </c>
      <c r="F466" s="5" t="s">
        <v>11</v>
      </c>
      <c r="G466" s="5">
        <v>3083958</v>
      </c>
    </row>
    <row r="467" spans="1:7" x14ac:dyDescent="0.3">
      <c r="A467" s="5" t="s">
        <v>60</v>
      </c>
      <c r="B467" s="3" t="s">
        <v>70</v>
      </c>
      <c r="C467" s="5" t="s">
        <v>50</v>
      </c>
      <c r="D467" s="5" t="s">
        <v>9</v>
      </c>
      <c r="E467" s="5" t="s">
        <v>15</v>
      </c>
      <c r="F467" s="5" t="s">
        <v>11</v>
      </c>
      <c r="G467" s="5">
        <v>2979832</v>
      </c>
    </row>
    <row r="468" spans="1:7" x14ac:dyDescent="0.3">
      <c r="A468" s="5" t="s">
        <v>60</v>
      </c>
      <c r="B468" s="3" t="s">
        <v>70</v>
      </c>
      <c r="C468" s="5" t="s">
        <v>50</v>
      </c>
      <c r="D468" s="5" t="s">
        <v>16</v>
      </c>
      <c r="E468" s="5" t="s">
        <v>17</v>
      </c>
      <c r="F468" s="5" t="s">
        <v>52</v>
      </c>
      <c r="G468" s="5">
        <v>97</v>
      </c>
    </row>
    <row r="469" spans="1:7" x14ac:dyDescent="0.3">
      <c r="A469" s="5" t="s">
        <v>60</v>
      </c>
      <c r="B469" s="3" t="s">
        <v>70</v>
      </c>
      <c r="C469" s="5" t="s">
        <v>50</v>
      </c>
      <c r="D469" s="5" t="s">
        <v>16</v>
      </c>
      <c r="E469" s="5" t="s">
        <v>19</v>
      </c>
      <c r="F469" s="5" t="s">
        <v>52</v>
      </c>
      <c r="G469" s="5">
        <v>14</v>
      </c>
    </row>
    <row r="470" spans="1:7" x14ac:dyDescent="0.3">
      <c r="A470" s="5" t="s">
        <v>60</v>
      </c>
      <c r="B470" s="3" t="s">
        <v>70</v>
      </c>
      <c r="C470" s="5" t="s">
        <v>50</v>
      </c>
      <c r="D470" s="5" t="s">
        <v>16</v>
      </c>
      <c r="E470" s="5" t="s">
        <v>20</v>
      </c>
      <c r="F470" s="5" t="s">
        <v>52</v>
      </c>
      <c r="G470" s="5">
        <v>589</v>
      </c>
    </row>
    <row r="471" spans="1:7" x14ac:dyDescent="0.3">
      <c r="A471" s="5" t="s">
        <v>60</v>
      </c>
      <c r="B471" s="3" t="s">
        <v>70</v>
      </c>
      <c r="C471" s="5" t="s">
        <v>50</v>
      </c>
      <c r="D471" s="5" t="s">
        <v>16</v>
      </c>
      <c r="E471" s="5" t="s">
        <v>61</v>
      </c>
      <c r="F471" s="5" t="s">
        <v>62</v>
      </c>
      <c r="G471" s="5">
        <v>95</v>
      </c>
    </row>
    <row r="472" spans="1:7" x14ac:dyDescent="0.3">
      <c r="A472" s="5" t="s">
        <v>60</v>
      </c>
      <c r="B472" s="3" t="s">
        <v>70</v>
      </c>
      <c r="C472" s="5" t="s">
        <v>50</v>
      </c>
      <c r="D472" s="5" t="s">
        <v>21</v>
      </c>
      <c r="E472" s="5" t="s">
        <v>22</v>
      </c>
      <c r="F472" s="5" t="s">
        <v>28</v>
      </c>
      <c r="G472" s="5">
        <v>43325</v>
      </c>
    </row>
    <row r="473" spans="1:7" x14ac:dyDescent="0.3">
      <c r="A473" s="5" t="s">
        <v>60</v>
      </c>
      <c r="B473" s="3" t="s">
        <v>70</v>
      </c>
      <c r="C473" s="5" t="s">
        <v>50</v>
      </c>
      <c r="D473" s="5" t="s">
        <v>21</v>
      </c>
      <c r="E473" s="5" t="s">
        <v>24</v>
      </c>
      <c r="F473" s="5" t="s">
        <v>28</v>
      </c>
      <c r="G473" s="5">
        <v>164749</v>
      </c>
    </row>
    <row r="474" spans="1:7" x14ac:dyDescent="0.3">
      <c r="A474" s="5" t="s">
        <v>60</v>
      </c>
      <c r="B474" s="3" t="s">
        <v>70</v>
      </c>
      <c r="C474" s="5" t="s">
        <v>50</v>
      </c>
      <c r="D474" s="5" t="s">
        <v>21</v>
      </c>
      <c r="E474" s="5" t="s">
        <v>25</v>
      </c>
      <c r="F474" s="5" t="s">
        <v>28</v>
      </c>
      <c r="G474" s="5">
        <v>208074</v>
      </c>
    </row>
    <row r="475" spans="1:7" x14ac:dyDescent="0.3">
      <c r="A475" s="5" t="s">
        <v>60</v>
      </c>
      <c r="B475" s="3" t="s">
        <v>70</v>
      </c>
      <c r="C475" s="5" t="s">
        <v>50</v>
      </c>
      <c r="D475" s="5" t="s">
        <v>26</v>
      </c>
      <c r="E475" s="5" t="s">
        <v>27</v>
      </c>
      <c r="F475" s="5" t="s">
        <v>28</v>
      </c>
      <c r="G475" s="5">
        <v>1959</v>
      </c>
    </row>
    <row r="476" spans="1:7" x14ac:dyDescent="0.3">
      <c r="A476" s="5" t="s">
        <v>60</v>
      </c>
      <c r="B476" s="3" t="s">
        <v>70</v>
      </c>
      <c r="C476" s="5" t="s">
        <v>50</v>
      </c>
      <c r="D476" s="5" t="s">
        <v>26</v>
      </c>
      <c r="E476" s="5" t="s">
        <v>29</v>
      </c>
      <c r="F476" s="5" t="s">
        <v>28</v>
      </c>
      <c r="G476" s="5">
        <v>76</v>
      </c>
    </row>
    <row r="477" spans="1:7" x14ac:dyDescent="0.3">
      <c r="A477" s="5" t="s">
        <v>60</v>
      </c>
      <c r="B477" s="3" t="s">
        <v>70</v>
      </c>
      <c r="C477" s="5" t="s">
        <v>50</v>
      </c>
      <c r="D477" s="5" t="s">
        <v>26</v>
      </c>
      <c r="E477" s="5" t="s">
        <v>30</v>
      </c>
      <c r="F477" s="5" t="s">
        <v>28</v>
      </c>
      <c r="G477" s="5">
        <v>1.98</v>
      </c>
    </row>
    <row r="478" spans="1:7" x14ac:dyDescent="0.3">
      <c r="A478" s="5" t="s">
        <v>60</v>
      </c>
      <c r="B478" s="3" t="s">
        <v>70</v>
      </c>
      <c r="C478" s="5" t="s">
        <v>50</v>
      </c>
      <c r="D478" s="5" t="s">
        <v>26</v>
      </c>
      <c r="E478" s="5" t="s">
        <v>53</v>
      </c>
      <c r="F478" s="5" t="s">
        <v>28</v>
      </c>
      <c r="G478" s="5">
        <v>3180</v>
      </c>
    </row>
    <row r="479" spans="1:7" x14ac:dyDescent="0.3">
      <c r="A479" s="5" t="s">
        <v>60</v>
      </c>
      <c r="B479" s="3" t="s">
        <v>70</v>
      </c>
      <c r="C479" s="5" t="s">
        <v>50</v>
      </c>
      <c r="D479" s="5" t="s">
        <v>26</v>
      </c>
      <c r="E479" s="5" t="s">
        <v>31</v>
      </c>
      <c r="F479" s="5" t="s">
        <v>28</v>
      </c>
      <c r="G479" s="5">
        <v>233</v>
      </c>
    </row>
    <row r="480" spans="1:7" x14ac:dyDescent="0.3">
      <c r="A480" s="5" t="s">
        <v>60</v>
      </c>
      <c r="B480" s="3" t="s">
        <v>70</v>
      </c>
      <c r="C480" s="5" t="s">
        <v>50</v>
      </c>
      <c r="D480" s="5" t="s">
        <v>26</v>
      </c>
      <c r="E480" s="5" t="s">
        <v>32</v>
      </c>
      <c r="F480" s="5" t="s">
        <v>28</v>
      </c>
      <c r="G480" s="5">
        <v>4009</v>
      </c>
    </row>
    <row r="481" spans="1:7" x14ac:dyDescent="0.3">
      <c r="A481" s="5" t="s">
        <v>60</v>
      </c>
      <c r="B481" s="3" t="s">
        <v>70</v>
      </c>
      <c r="C481" s="5" t="s">
        <v>50</v>
      </c>
      <c r="D481" s="5" t="s">
        <v>26</v>
      </c>
      <c r="E481" s="5" t="s">
        <v>33</v>
      </c>
      <c r="F481" s="5" t="s">
        <v>28</v>
      </c>
      <c r="G481" s="5">
        <v>81488</v>
      </c>
    </row>
    <row r="482" spans="1:7" x14ac:dyDescent="0.3">
      <c r="A482" s="5" t="s">
        <v>60</v>
      </c>
      <c r="B482" s="3" t="s">
        <v>70</v>
      </c>
      <c r="C482" s="5" t="s">
        <v>50</v>
      </c>
      <c r="D482" s="5" t="s">
        <v>26</v>
      </c>
      <c r="E482" s="5" t="s">
        <v>34</v>
      </c>
      <c r="F482" s="5" t="s">
        <v>28</v>
      </c>
      <c r="G482" s="5">
        <v>90947</v>
      </c>
    </row>
    <row r="483" spans="1:7" x14ac:dyDescent="0.3">
      <c r="A483" s="5" t="s">
        <v>60</v>
      </c>
      <c r="B483" s="3" t="s">
        <v>70</v>
      </c>
      <c r="C483" s="5" t="s">
        <v>50</v>
      </c>
      <c r="D483" s="5" t="s">
        <v>26</v>
      </c>
      <c r="E483" s="5" t="s">
        <v>35</v>
      </c>
      <c r="F483" s="5" t="s">
        <v>28</v>
      </c>
      <c r="G483" s="5">
        <v>53728</v>
      </c>
    </row>
    <row r="484" spans="1:7" x14ac:dyDescent="0.3">
      <c r="A484" s="5" t="s">
        <v>60</v>
      </c>
      <c r="B484" s="3" t="s">
        <v>70</v>
      </c>
      <c r="C484" s="5" t="s">
        <v>50</v>
      </c>
      <c r="D484" s="5" t="s">
        <v>26</v>
      </c>
      <c r="E484" s="5" t="s">
        <v>54</v>
      </c>
      <c r="F484" s="5" t="s">
        <v>28</v>
      </c>
      <c r="G484" s="5">
        <v>0</v>
      </c>
    </row>
    <row r="485" spans="1:7" x14ac:dyDescent="0.3">
      <c r="A485" s="5" t="s">
        <v>60</v>
      </c>
      <c r="B485" s="3" t="s">
        <v>70</v>
      </c>
      <c r="C485" s="5" t="s">
        <v>50</v>
      </c>
      <c r="D485" s="5" t="s">
        <v>26</v>
      </c>
      <c r="E485" s="5" t="s">
        <v>37</v>
      </c>
      <c r="F485" s="5" t="s">
        <v>28</v>
      </c>
      <c r="G485" s="5">
        <v>0</v>
      </c>
    </row>
    <row r="486" spans="1:7" x14ac:dyDescent="0.3">
      <c r="A486" s="5" t="s">
        <v>60</v>
      </c>
      <c r="B486" s="3" t="s">
        <v>70</v>
      </c>
      <c r="C486" s="5" t="s">
        <v>50</v>
      </c>
      <c r="D486" s="5" t="s">
        <v>26</v>
      </c>
      <c r="E486" s="5" t="s">
        <v>38</v>
      </c>
      <c r="F486" s="5" t="s">
        <v>28</v>
      </c>
      <c r="G486" s="5">
        <v>58978</v>
      </c>
    </row>
    <row r="487" spans="1:7" x14ac:dyDescent="0.3">
      <c r="A487" s="5" t="s">
        <v>60</v>
      </c>
      <c r="B487" s="3" t="s">
        <v>70</v>
      </c>
      <c r="C487" s="5" t="s">
        <v>50</v>
      </c>
      <c r="D487" s="5" t="s">
        <v>26</v>
      </c>
      <c r="E487" s="5" t="s">
        <v>63</v>
      </c>
      <c r="F487" s="5" t="s">
        <v>28</v>
      </c>
      <c r="G487" s="5">
        <v>31969</v>
      </c>
    </row>
    <row r="488" spans="1:7" x14ac:dyDescent="0.3">
      <c r="A488" s="5" t="s">
        <v>60</v>
      </c>
      <c r="B488" s="3" t="s">
        <v>70</v>
      </c>
      <c r="C488" s="5" t="s">
        <v>50</v>
      </c>
      <c r="D488" s="5" t="s">
        <v>26</v>
      </c>
      <c r="E488" s="5" t="s">
        <v>64</v>
      </c>
      <c r="F488" s="5" t="s">
        <v>28</v>
      </c>
      <c r="G488" s="5">
        <v>0</v>
      </c>
    </row>
    <row r="489" spans="1:7" x14ac:dyDescent="0.3">
      <c r="A489" s="5" t="s">
        <v>60</v>
      </c>
      <c r="B489" s="3" t="s">
        <v>70</v>
      </c>
      <c r="C489" s="5" t="s">
        <v>50</v>
      </c>
      <c r="D489" s="5" t="s">
        <v>26</v>
      </c>
      <c r="E489" s="5" t="s">
        <v>41</v>
      </c>
      <c r="F489" s="5" t="s">
        <v>28</v>
      </c>
      <c r="G489" s="5">
        <v>0</v>
      </c>
    </row>
    <row r="490" spans="1:7" x14ac:dyDescent="0.3">
      <c r="A490" s="5" t="s">
        <v>60</v>
      </c>
      <c r="B490" s="3" t="s">
        <v>70</v>
      </c>
      <c r="C490" s="5" t="s">
        <v>50</v>
      </c>
      <c r="D490" s="5" t="s">
        <v>26</v>
      </c>
      <c r="E490" s="5" t="s">
        <v>42</v>
      </c>
      <c r="F490" s="5" t="s">
        <v>28</v>
      </c>
      <c r="G490" s="5">
        <v>31969</v>
      </c>
    </row>
  </sheetData>
  <phoneticPr fontId="3" type="noConversion"/>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EA7098-9DBD-4B9A-98C2-5A6179AE7708}">
  <sheetPr codeName="Sheet2"/>
  <dimension ref="A1:G9"/>
  <sheetViews>
    <sheetView workbookViewId="0">
      <selection activeCell="A7" sqref="A7"/>
    </sheetView>
  </sheetViews>
  <sheetFormatPr defaultRowHeight="15" x14ac:dyDescent="0.25"/>
  <cols>
    <col min="1" max="1" width="17.5703125" bestFit="1" customWidth="1"/>
    <col min="2" max="2" width="53" bestFit="1" customWidth="1"/>
    <col min="3" max="3" width="33.85546875" bestFit="1" customWidth="1"/>
    <col min="4" max="4" width="16.28515625" bestFit="1" customWidth="1"/>
    <col min="5" max="5" width="16.42578125" bestFit="1" customWidth="1"/>
    <col min="6" max="6" width="18" bestFit="1" customWidth="1"/>
    <col min="7" max="7" width="20.140625" bestFit="1" customWidth="1"/>
  </cols>
  <sheetData>
    <row r="1" spans="1:7" ht="18.75" x14ac:dyDescent="0.3">
      <c r="A1" s="12" t="s">
        <v>2</v>
      </c>
      <c r="B1" s="3" t="s">
        <v>6</v>
      </c>
      <c r="C1" s="3"/>
      <c r="D1" s="3"/>
      <c r="E1" s="3"/>
      <c r="F1" s="3"/>
      <c r="G1" s="3"/>
    </row>
    <row r="2" spans="1:7" ht="18.75" x14ac:dyDescent="0.3">
      <c r="A2" s="12" t="s">
        <v>3</v>
      </c>
      <c r="B2" s="3" t="s">
        <v>47</v>
      </c>
      <c r="C2" s="3"/>
      <c r="D2" s="3"/>
      <c r="E2" s="3"/>
      <c r="F2" s="3"/>
      <c r="G2" s="3"/>
    </row>
    <row r="3" spans="1:7" ht="18.75" x14ac:dyDescent="0.3">
      <c r="A3" s="3"/>
      <c r="B3" s="3"/>
      <c r="C3" s="3"/>
      <c r="D3" s="3"/>
      <c r="E3" s="3"/>
      <c r="F3" s="3"/>
      <c r="G3" s="3"/>
    </row>
    <row r="4" spans="1:7" ht="18.75" x14ac:dyDescent="0.3">
      <c r="A4" s="12" t="s">
        <v>74</v>
      </c>
      <c r="B4" s="12" t="s">
        <v>73</v>
      </c>
      <c r="C4" s="3"/>
      <c r="D4" s="3"/>
      <c r="E4" s="3"/>
    </row>
    <row r="5" spans="1:7" ht="18.75" x14ac:dyDescent="0.3">
      <c r="A5" s="12" t="s">
        <v>71</v>
      </c>
      <c r="B5" s="3" t="s">
        <v>65</v>
      </c>
      <c r="C5" s="3" t="s">
        <v>68</v>
      </c>
      <c r="D5" s="3" t="s">
        <v>60</v>
      </c>
      <c r="E5" s="3" t="s">
        <v>72</v>
      </c>
    </row>
    <row r="6" spans="1:7" ht="18.75" x14ac:dyDescent="0.3">
      <c r="A6" s="13" t="s">
        <v>8</v>
      </c>
      <c r="B6" s="14">
        <v>2798837</v>
      </c>
      <c r="C6" s="14">
        <v>3702585</v>
      </c>
      <c r="D6" s="14">
        <v>1754483</v>
      </c>
      <c r="E6" s="14">
        <v>8255905</v>
      </c>
    </row>
    <row r="7" spans="1:7" ht="18.75" x14ac:dyDescent="0.3">
      <c r="A7" s="13" t="s">
        <v>43</v>
      </c>
      <c r="B7" s="14">
        <v>3013408</v>
      </c>
      <c r="C7" s="14">
        <v>3719372</v>
      </c>
      <c r="D7" s="14">
        <v>1883646</v>
      </c>
      <c r="E7" s="14">
        <v>8616426</v>
      </c>
    </row>
    <row r="8" spans="1:7" ht="18.75" x14ac:dyDescent="0.3">
      <c r="A8" s="13" t="s">
        <v>50</v>
      </c>
      <c r="B8" s="14">
        <v>3453000</v>
      </c>
      <c r="C8" s="14">
        <v>3726603</v>
      </c>
      <c r="D8" s="14">
        <v>1911748</v>
      </c>
      <c r="E8" s="14">
        <v>9091351</v>
      </c>
    </row>
    <row r="9" spans="1:7" ht="18.75" x14ac:dyDescent="0.3">
      <c r="A9" s="13" t="s">
        <v>72</v>
      </c>
      <c r="B9" s="14">
        <v>9265245</v>
      </c>
      <c r="C9" s="14">
        <v>11148560</v>
      </c>
      <c r="D9" s="14">
        <v>5549877</v>
      </c>
      <c r="E9" s="14">
        <v>25963682</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A21616-4E59-4059-B1E3-1DE008AB5902}">
  <sheetPr codeName="Sheet3"/>
  <dimension ref="A1:E11"/>
  <sheetViews>
    <sheetView workbookViewId="0">
      <selection activeCell="B16" sqref="B16"/>
    </sheetView>
  </sheetViews>
  <sheetFormatPr defaultRowHeight="18.75" x14ac:dyDescent="0.3"/>
  <cols>
    <col min="1" max="1" width="49.42578125" style="3" bestFit="1" customWidth="1"/>
    <col min="2" max="2" width="21.42578125" style="3" bestFit="1" customWidth="1"/>
    <col min="3" max="4" width="16.42578125" style="3" bestFit="1" customWidth="1"/>
    <col min="5" max="5" width="18" style="3" bestFit="1" customWidth="1"/>
    <col min="6" max="16384" width="9.140625" style="3"/>
  </cols>
  <sheetData>
    <row r="1" spans="1:5" x14ac:dyDescent="0.3">
      <c r="A1" s="12" t="s">
        <v>2</v>
      </c>
      <c r="B1" s="3" t="s">
        <v>21</v>
      </c>
    </row>
    <row r="2" spans="1:5" x14ac:dyDescent="0.3">
      <c r="A2" s="12" t="s">
        <v>3</v>
      </c>
      <c r="B2" s="3" t="s">
        <v>25</v>
      </c>
    </row>
    <row r="4" spans="1:5" x14ac:dyDescent="0.3">
      <c r="A4" s="12" t="s">
        <v>74</v>
      </c>
      <c r="B4" s="12" t="s">
        <v>73</v>
      </c>
    </row>
    <row r="5" spans="1:5" x14ac:dyDescent="0.3">
      <c r="A5" s="12" t="s">
        <v>71</v>
      </c>
      <c r="B5" s="3" t="s">
        <v>8</v>
      </c>
      <c r="C5" s="3" t="s">
        <v>43</v>
      </c>
      <c r="D5" s="3" t="s">
        <v>50</v>
      </c>
      <c r="E5" s="3" t="s">
        <v>72</v>
      </c>
    </row>
    <row r="6" spans="1:5" x14ac:dyDescent="0.3">
      <c r="A6" s="13" t="s">
        <v>65</v>
      </c>
      <c r="B6" s="14">
        <v>322501</v>
      </c>
      <c r="C6" s="14">
        <v>383053</v>
      </c>
      <c r="D6" s="14">
        <v>469625</v>
      </c>
      <c r="E6" s="14">
        <v>1175179</v>
      </c>
    </row>
    <row r="7" spans="1:5" x14ac:dyDescent="0.3">
      <c r="A7" s="13" t="s">
        <v>67</v>
      </c>
      <c r="B7" s="14">
        <v>5960000</v>
      </c>
      <c r="C7" s="14">
        <v>6340000</v>
      </c>
      <c r="D7" s="14">
        <v>6500000</v>
      </c>
      <c r="E7" s="14">
        <v>18800000</v>
      </c>
    </row>
    <row r="8" spans="1:5" x14ac:dyDescent="0.3">
      <c r="A8" s="13" t="s">
        <v>68</v>
      </c>
      <c r="B8" s="14">
        <v>32110</v>
      </c>
      <c r="C8" s="14">
        <v>20165</v>
      </c>
      <c r="D8" s="14">
        <v>14718</v>
      </c>
      <c r="E8" s="14">
        <v>66993</v>
      </c>
    </row>
    <row r="9" spans="1:5" x14ac:dyDescent="0.3">
      <c r="A9" s="13" t="s">
        <v>69</v>
      </c>
      <c r="B9" s="14">
        <v>38091188</v>
      </c>
      <c r="C9" s="14">
        <v>37945728</v>
      </c>
      <c r="D9" s="14">
        <v>37682039</v>
      </c>
      <c r="E9" s="14">
        <v>113718955</v>
      </c>
    </row>
    <row r="10" spans="1:5" x14ac:dyDescent="0.3">
      <c r="A10" s="13" t="s">
        <v>60</v>
      </c>
      <c r="B10" s="14">
        <v>226040</v>
      </c>
      <c r="C10" s="14">
        <v>227594</v>
      </c>
      <c r="D10" s="14">
        <v>208074</v>
      </c>
      <c r="E10" s="14">
        <v>661708</v>
      </c>
    </row>
    <row r="11" spans="1:5" x14ac:dyDescent="0.3">
      <c r="A11" s="13" t="s">
        <v>72</v>
      </c>
      <c r="B11" s="14">
        <v>44631839</v>
      </c>
      <c r="C11" s="14">
        <v>44916540</v>
      </c>
      <c r="D11" s="14">
        <v>44874456</v>
      </c>
      <c r="E11" s="14">
        <v>134422835</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E8C64F-4FDF-411E-9581-0F4888B881DA}">
  <sheetPr codeName="Sheet4"/>
  <dimension ref="A1:E13"/>
  <sheetViews>
    <sheetView workbookViewId="0">
      <selection activeCell="A31" sqref="A31"/>
    </sheetView>
  </sheetViews>
  <sheetFormatPr defaultRowHeight="15" x14ac:dyDescent="0.25"/>
  <cols>
    <col min="1" max="1" width="28" bestFit="1" customWidth="1"/>
    <col min="2" max="2" width="40.42578125" bestFit="1" customWidth="1"/>
    <col min="3" max="5" width="11.5703125" bestFit="1" customWidth="1"/>
  </cols>
  <sheetData>
    <row r="1" spans="1:5" x14ac:dyDescent="0.25">
      <c r="A1" s="9" t="s">
        <v>2</v>
      </c>
      <c r="B1" t="s">
        <v>9</v>
      </c>
    </row>
    <row r="2" spans="1:5" x14ac:dyDescent="0.25">
      <c r="A2" s="9" t="s">
        <v>0</v>
      </c>
      <c r="B2" t="s">
        <v>65</v>
      </c>
    </row>
    <row r="4" spans="1:5" x14ac:dyDescent="0.25">
      <c r="A4" s="9" t="s">
        <v>74</v>
      </c>
      <c r="B4" s="9" t="s">
        <v>73</v>
      </c>
    </row>
    <row r="5" spans="1:5" x14ac:dyDescent="0.25">
      <c r="A5" s="9" t="s">
        <v>71</v>
      </c>
      <c r="B5" t="s">
        <v>8</v>
      </c>
      <c r="C5" t="s">
        <v>43</v>
      </c>
      <c r="D5" t="s">
        <v>50</v>
      </c>
      <c r="E5" t="s">
        <v>72</v>
      </c>
    </row>
    <row r="6" spans="1:5" x14ac:dyDescent="0.25">
      <c r="A6" s="10" t="s">
        <v>49</v>
      </c>
      <c r="B6" s="11">
        <v>221382</v>
      </c>
      <c r="C6" s="11">
        <v>366769</v>
      </c>
      <c r="D6" s="11">
        <v>410463</v>
      </c>
      <c r="E6" s="11">
        <v>998614</v>
      </c>
    </row>
    <row r="7" spans="1:5" x14ac:dyDescent="0.25">
      <c r="A7" s="10" t="s">
        <v>13</v>
      </c>
      <c r="B7" s="11">
        <v>1731042</v>
      </c>
      <c r="C7" s="11">
        <v>960739</v>
      </c>
      <c r="D7" s="11">
        <v>1220162</v>
      </c>
      <c r="E7" s="11">
        <v>3911943</v>
      </c>
    </row>
    <row r="8" spans="1:5" x14ac:dyDescent="0.25">
      <c r="A8" s="10" t="s">
        <v>12</v>
      </c>
      <c r="B8" s="11">
        <v>1027249</v>
      </c>
      <c r="C8" s="11">
        <v>1241295</v>
      </c>
      <c r="D8" s="11">
        <v>1778522</v>
      </c>
      <c r="E8" s="11">
        <v>4047066</v>
      </c>
    </row>
    <row r="9" spans="1:5" x14ac:dyDescent="0.25">
      <c r="A9" s="10" t="s">
        <v>48</v>
      </c>
      <c r="B9" s="11">
        <v>347547</v>
      </c>
      <c r="C9" s="11">
        <v>839237</v>
      </c>
      <c r="D9" s="11">
        <v>1350678</v>
      </c>
      <c r="E9" s="11">
        <v>2537462</v>
      </c>
    </row>
    <row r="10" spans="1:5" x14ac:dyDescent="0.25">
      <c r="A10" s="10" t="s">
        <v>10</v>
      </c>
      <c r="B10" s="11">
        <v>2174306</v>
      </c>
      <c r="C10" s="11">
        <v>2832089</v>
      </c>
      <c r="D10" s="11">
        <v>2938298</v>
      </c>
      <c r="E10" s="11">
        <v>7944693</v>
      </c>
    </row>
    <row r="11" spans="1:5" x14ac:dyDescent="0.25">
      <c r="A11" s="10" t="s">
        <v>15</v>
      </c>
      <c r="B11" s="11">
        <v>4731107</v>
      </c>
      <c r="C11" s="11">
        <v>5590749</v>
      </c>
      <c r="D11" s="11">
        <v>7036727</v>
      </c>
      <c r="E11" s="11">
        <v>17358583</v>
      </c>
    </row>
    <row r="12" spans="1:5" x14ac:dyDescent="0.25">
      <c r="A12" s="10" t="s">
        <v>14</v>
      </c>
      <c r="B12" s="11">
        <v>5501526</v>
      </c>
      <c r="C12" s="11">
        <v>6240130</v>
      </c>
      <c r="D12" s="11">
        <v>7698123</v>
      </c>
      <c r="E12" s="11">
        <v>19439779</v>
      </c>
    </row>
    <row r="13" spans="1:5" x14ac:dyDescent="0.25">
      <c r="A13" s="10" t="s">
        <v>72</v>
      </c>
      <c r="B13" s="11">
        <v>15734159</v>
      </c>
      <c r="C13" s="11">
        <v>18071008</v>
      </c>
      <c r="D13" s="11">
        <v>22432973</v>
      </c>
      <c r="E13" s="11">
        <v>56238140</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3949E3-1960-493A-8679-8F2E10707458}">
  <sheetPr codeName="Sheet6">
    <pageSetUpPr fitToPage="1"/>
  </sheetPr>
  <dimension ref="A1:K16"/>
  <sheetViews>
    <sheetView tabSelected="1" workbookViewId="0">
      <selection activeCell="C18" sqref="C18"/>
    </sheetView>
  </sheetViews>
  <sheetFormatPr defaultRowHeight="18.75" x14ac:dyDescent="0.3"/>
  <cols>
    <col min="1" max="1" width="51.42578125" style="3" customWidth="1"/>
    <col min="2" max="2" width="12.5703125" style="3" customWidth="1"/>
    <col min="3" max="3" width="39.42578125" style="19" bestFit="1" customWidth="1"/>
    <col min="4" max="4" width="39.5703125" style="3" bestFit="1" customWidth="1"/>
    <col min="5" max="5" width="20.85546875" style="3" bestFit="1" customWidth="1"/>
    <col min="6" max="6" width="26.140625" style="3" bestFit="1" customWidth="1"/>
    <col min="7" max="7" width="29.42578125" style="3" bestFit="1" customWidth="1"/>
    <col min="8" max="8" width="22.5703125" style="3" bestFit="1" customWidth="1"/>
    <col min="9" max="9" width="17.85546875" style="3" customWidth="1"/>
    <col min="10" max="10" width="9.28515625" style="15" customWidth="1"/>
    <col min="11" max="11" width="17.42578125" style="3" customWidth="1"/>
    <col min="12" max="16384" width="9.140625" style="3"/>
  </cols>
  <sheetData>
    <row r="1" spans="1:11" s="18" customFormat="1" x14ac:dyDescent="0.3">
      <c r="A1" s="20" t="s">
        <v>0</v>
      </c>
      <c r="B1" s="20" t="s">
        <v>1</v>
      </c>
      <c r="C1" s="21" t="s">
        <v>79</v>
      </c>
      <c r="D1" s="20" t="s">
        <v>80</v>
      </c>
      <c r="E1" s="20" t="s">
        <v>81</v>
      </c>
      <c r="F1" s="20" t="s">
        <v>75</v>
      </c>
      <c r="G1" s="20" t="s">
        <v>78</v>
      </c>
      <c r="H1" s="20" t="s">
        <v>77</v>
      </c>
      <c r="I1" s="20" t="s">
        <v>76</v>
      </c>
      <c r="J1" s="22" t="s">
        <v>82</v>
      </c>
      <c r="K1" s="20" t="s">
        <v>87</v>
      </c>
    </row>
    <row r="2" spans="1:11" x14ac:dyDescent="0.3">
      <c r="A2" s="23" t="s">
        <v>65</v>
      </c>
      <c r="B2" s="23" t="s">
        <v>8</v>
      </c>
      <c r="C2" s="24">
        <f>SUMIFS(ESG_DATA[Value], ESG_DATA[Company], $A2, ESG_DATA[Year], $B2, ESG_DATA[Metric], "Waste", ESG_DATA[Sub-Metric], "Total Waste Generated")</f>
        <v>12995</v>
      </c>
      <c r="D2" s="25">
        <f>SUMIFS(ESG_DATA[Value], ESG_DATA[Company], $A2, ESG_DATA[Year], $B2, ESG_DATA[Metric], "Waste", ESG_DATA[Sub-Metric], "Total Waste Recovered")</f>
        <v>11178</v>
      </c>
      <c r="E2" s="26">
        <f>IF(C2=0, "", D2 / C2)</f>
        <v>0.86017699115044244</v>
      </c>
      <c r="F2" s="25">
        <f>SUMIFS(ESG_DATA[Value], ESG_DATA[Company], $A2, ESG_DATA[Year], $B2, ESG_DATA[Metric], "Energy", ESG_DATA[Sub-Metric], "Total Energy Consumption")</f>
        <v>2798837</v>
      </c>
      <c r="G2" s="25">
        <f>SUMIFS(ESG_DATA[Value], ESG_DATA[Company], $A2, ESG_DATA[Year], $B2, ESG_DATA[Metric], "GHG Emissions", ESG_DATA[Sub-Metric], "Scope 1+2")</f>
        <v>322501</v>
      </c>
      <c r="H2" s="25">
        <f>SUMIFS(ESG_DATA[Value], ESG_DATA[Company], $A2, ESG_DATA[Year], $B2, ESG_DATA[Metric], "Energy", ESG_DATA[Sub-Metric], "Electricity Consumption")</f>
        <v>1086392</v>
      </c>
      <c r="I2" s="25">
        <f>SUMIFS(ESG_DATA[Value], ESG_DATA[Company], $A2, ESG_DATA[Year], $B2, ESG_DATA[Metric], "Energy", ESG_DATA[Sub-Metric], "Fuel Consumption")</f>
        <v>1712444</v>
      </c>
      <c r="J2" s="27" t="str">
        <f>IF(A2&lt;&gt;A1,"",IFERROR((G2-G1)/G1,""))</f>
        <v/>
      </c>
      <c r="K2" s="25">
        <f>SUMIFS(ESG_DATA[Value], ESG_DATA[Company], $A2, ESG_DATA[Year], $B2, ESG_DATA[Metric], "Water", ESG_DATA[Sub-Metric], "Total Water Consumption")</f>
        <v>4731107</v>
      </c>
    </row>
    <row r="3" spans="1:11" x14ac:dyDescent="0.3">
      <c r="A3" s="23" t="s">
        <v>65</v>
      </c>
      <c r="B3" s="23" t="s">
        <v>43</v>
      </c>
      <c r="C3" s="24">
        <f>SUMIFS(ESG_DATA[Value], ESG_DATA[Company], $A3, ESG_DATA[Year], $B3, ESG_DATA[Metric], "Waste", ESG_DATA[Sub-Metric], "Total Waste Generated")</f>
        <v>15316</v>
      </c>
      <c r="D3" s="25">
        <f>SUMIFS(ESG_DATA[Value], ESG_DATA[Company], $A3, ESG_DATA[Year], $B3, ESG_DATA[Metric], "Waste", ESG_DATA[Sub-Metric], "Total Waste Recovered")</f>
        <v>12245</v>
      </c>
      <c r="E3" s="26">
        <f t="shared" ref="E3:E16" si="0">IF(C3=0, "", D3 / C3)</f>
        <v>0.79949072864977799</v>
      </c>
      <c r="F3" s="25">
        <f>SUMIFS(ESG_DATA[Value], ESG_DATA[Company], $A3, ESG_DATA[Year], $B3, ESG_DATA[Metric], "Energy", ESG_DATA[Sub-Metric], "Total Energy Consumption")</f>
        <v>3013408</v>
      </c>
      <c r="G3" s="25">
        <f>SUMIFS(ESG_DATA[Value], ESG_DATA[Company], $A3, ESG_DATA[Year], $B3, ESG_DATA[Metric], "GHG Emissions", ESG_DATA[Sub-Metric], "Scope 1+2")</f>
        <v>383053</v>
      </c>
      <c r="H3" s="25">
        <f>SUMIFS(ESG_DATA[Value], ESG_DATA[Company], $A3, ESG_DATA[Year], $B3, ESG_DATA[Metric], "Energy", ESG_DATA[Sub-Metric], "Electricity Consumption")</f>
        <v>1387640</v>
      </c>
      <c r="I3" s="25">
        <f>SUMIFS(ESG_DATA[Value], ESG_DATA[Company], $A3, ESG_DATA[Year], $B3, ESG_DATA[Metric], "Energy", ESG_DATA[Sub-Metric], "Fuel Consumption")</f>
        <v>1625768</v>
      </c>
      <c r="J3" s="27">
        <f>IF(A3&lt;&gt;A2,"",IFERROR((G3-G2)/G2,""))</f>
        <v>0.18775755734090746</v>
      </c>
      <c r="K3" s="25">
        <f>SUMIFS(ESG_DATA[Value], ESG_DATA[Company], $A3, ESG_DATA[Year], $B3, ESG_DATA[Metric], "Water", ESG_DATA[Sub-Metric], "Total Water Consumption")</f>
        <v>5590749</v>
      </c>
    </row>
    <row r="4" spans="1:11" x14ac:dyDescent="0.3">
      <c r="A4" s="23" t="s">
        <v>65</v>
      </c>
      <c r="B4" s="23" t="s">
        <v>50</v>
      </c>
      <c r="C4" s="24">
        <f>SUMIFS(ESG_DATA[Value], ESG_DATA[Company], $A4, ESG_DATA[Year], $B4, ESG_DATA[Metric], "Waste", ESG_DATA[Sub-Metric], "Total Waste Generated")</f>
        <v>13234</v>
      </c>
      <c r="D4" s="25">
        <f>SUMIFS(ESG_DATA[Value], ESG_DATA[Company], $A4, ESG_DATA[Year], $B4, ESG_DATA[Metric], "Waste", ESG_DATA[Sub-Metric], "Total Waste Recovered")</f>
        <v>10101</v>
      </c>
      <c r="E4" s="26">
        <f t="shared" si="0"/>
        <v>0.76326129666011788</v>
      </c>
      <c r="F4" s="25">
        <f>SUMIFS(ESG_DATA[Value], ESG_DATA[Company], $A4, ESG_DATA[Year], $B4, ESG_DATA[Metric], "Energy", ESG_DATA[Sub-Metric], "Total Energy Consumption")</f>
        <v>3453000</v>
      </c>
      <c r="G4" s="25">
        <f>SUMIFS(ESG_DATA[Value], ESG_DATA[Company], $A4, ESG_DATA[Year], $B4, ESG_DATA[Metric], "GHG Emissions", ESG_DATA[Sub-Metric], "Scope 1+2")</f>
        <v>469625</v>
      </c>
      <c r="H4" s="25">
        <f>SUMIFS(ESG_DATA[Value], ESG_DATA[Company], $A4, ESG_DATA[Year], $B4, ESG_DATA[Metric], "Energy", ESG_DATA[Sub-Metric], "Electricity Consumption")</f>
        <v>1793000</v>
      </c>
      <c r="I4" s="25">
        <f>SUMIFS(ESG_DATA[Value], ESG_DATA[Company], $A4, ESG_DATA[Year], $B4, ESG_DATA[Metric], "Energy", ESG_DATA[Sub-Metric], "Fuel Consumption")</f>
        <v>1660000</v>
      </c>
      <c r="J4" s="27">
        <f t="shared" ref="J4:J16" si="1">IF(A4&lt;&gt;A3,"",IFERROR((G4-G3)/G3,""))</f>
        <v>0.22600527864290321</v>
      </c>
      <c r="K4" s="25">
        <f>SUMIFS(ESG_DATA[Value], ESG_DATA[Company], $A4, ESG_DATA[Year], $B4, ESG_DATA[Metric], "Water", ESG_DATA[Sub-Metric], "Total Water Consumption")</f>
        <v>7036727</v>
      </c>
    </row>
    <row r="5" spans="1:11" x14ac:dyDescent="0.3">
      <c r="A5" s="23" t="s">
        <v>67</v>
      </c>
      <c r="B5" s="23" t="s">
        <v>8</v>
      </c>
      <c r="C5" s="24">
        <f>SUMIFS(ESG_DATA[Value], ESG_DATA[Company], $A5, ESG_DATA[Year], $B5, ESG_DATA[Metric], "Waste", ESG_DATA[Sub-Metric], "Total Waste Generated")</f>
        <v>1027928</v>
      </c>
      <c r="D5" s="25">
        <f>SUMIFS(ESG_DATA[Value], ESG_DATA[Company], $A5, ESG_DATA[Year], $B5, ESG_DATA[Metric], "Waste", ESG_DATA[Sub-Metric], "Total Waste Recovered")</f>
        <v>923162</v>
      </c>
      <c r="E5" s="26">
        <f t="shared" si="0"/>
        <v>0.89808041030111063</v>
      </c>
      <c r="F5" s="25">
        <f>SUMIFS(ESG_DATA[Value], ESG_DATA[Company], $A5, ESG_DATA[Year], $B5, ESG_DATA[Metric], "Energy", ESG_DATA[Sub-Metric], "Total Energy Consumption")</f>
        <v>59930000</v>
      </c>
      <c r="G5" s="25">
        <f>SUMIFS(ESG_DATA[Value], ESG_DATA[Company], $A5, ESG_DATA[Year], $B5, ESG_DATA[Metric], "GHG Emissions", ESG_DATA[Sub-Metric], "Scope 1+2")</f>
        <v>5960000</v>
      </c>
      <c r="H5" s="25">
        <f>SUMIFS(ESG_DATA[Value], ESG_DATA[Company], $A5, ESG_DATA[Year], $B5, ESG_DATA[Metric], "Energy", ESG_DATA[Sub-Metric], "Electricity Consumption")</f>
        <v>6390000</v>
      </c>
      <c r="I5" s="25">
        <f>SUMIFS(ESG_DATA[Value], ESG_DATA[Company], $A5, ESG_DATA[Year], $B5, ESG_DATA[Metric], "Energy", ESG_DATA[Sub-Metric], "Fuel Consumption")</f>
        <v>53540000</v>
      </c>
      <c r="J5" s="27" t="str">
        <f t="shared" si="1"/>
        <v/>
      </c>
      <c r="K5" s="25">
        <f>SUMIFS(ESG_DATA[Value], ESG_DATA[Company], $A5, ESG_DATA[Year], $B5, ESG_DATA[Metric], "Water", ESG_DATA[Sub-Metric], "Total Water Consumption")</f>
        <v>368700000</v>
      </c>
    </row>
    <row r="6" spans="1:11" x14ac:dyDescent="0.3">
      <c r="A6" s="23" t="s">
        <v>67</v>
      </c>
      <c r="B6" s="23" t="s">
        <v>43</v>
      </c>
      <c r="C6" s="24">
        <f>SUMIFS(ESG_DATA[Value], ESG_DATA[Company], $A6, ESG_DATA[Year], $B6, ESG_DATA[Metric], "Waste", ESG_DATA[Sub-Metric], "Total Waste Generated")</f>
        <v>898679</v>
      </c>
      <c r="D6" s="25">
        <f>SUMIFS(ESG_DATA[Value], ESG_DATA[Company], $A6, ESG_DATA[Year], $B6, ESG_DATA[Metric], "Waste", ESG_DATA[Sub-Metric], "Total Waste Recovered")</f>
        <v>808981</v>
      </c>
      <c r="E6" s="26">
        <f t="shared" si="0"/>
        <v>0.90018905526890025</v>
      </c>
      <c r="F6" s="25">
        <f>SUMIFS(ESG_DATA[Value], ESG_DATA[Company], $A6, ESG_DATA[Year], $B6, ESG_DATA[Metric], "Energy", ESG_DATA[Sub-Metric], "Total Energy Consumption")</f>
        <v>63640000</v>
      </c>
      <c r="G6" s="25">
        <f>SUMIFS(ESG_DATA[Value], ESG_DATA[Company], $A6, ESG_DATA[Year], $B6, ESG_DATA[Metric], "GHG Emissions", ESG_DATA[Sub-Metric], "Scope 1+2")</f>
        <v>6340000</v>
      </c>
      <c r="H6" s="25">
        <f>SUMIFS(ESG_DATA[Value], ESG_DATA[Company], $A6, ESG_DATA[Year], $B6, ESG_DATA[Metric], "Energy", ESG_DATA[Sub-Metric], "Electricity Consumption")</f>
        <v>7350000</v>
      </c>
      <c r="I6" s="25">
        <f>SUMIFS(ESG_DATA[Value], ESG_DATA[Company], $A6, ESG_DATA[Year], $B6, ESG_DATA[Metric], "Energy", ESG_DATA[Sub-Metric], "Fuel Consumption")</f>
        <v>56290000</v>
      </c>
      <c r="J6" s="27">
        <f t="shared" si="1"/>
        <v>6.3758389261744972E-2</v>
      </c>
      <c r="K6" s="25">
        <f>SUMIFS(ESG_DATA[Value], ESG_DATA[Company], $A6, ESG_DATA[Year], $B6, ESG_DATA[Metric], "Water", ESG_DATA[Sub-Metric], "Total Water Consumption")</f>
        <v>525400000</v>
      </c>
    </row>
    <row r="7" spans="1:11" x14ac:dyDescent="0.3">
      <c r="A7" s="23" t="s">
        <v>67</v>
      </c>
      <c r="B7" s="23" t="s">
        <v>50</v>
      </c>
      <c r="C7" s="24">
        <f>SUMIFS(ESG_DATA[Value], ESG_DATA[Company], $A7, ESG_DATA[Year], $B7, ESG_DATA[Metric], "Waste", ESG_DATA[Sub-Metric], "Total Waste Generated")</f>
        <v>1042936</v>
      </c>
      <c r="D7" s="25">
        <f>SUMIFS(ESG_DATA[Value], ESG_DATA[Company], $A7, ESG_DATA[Year], $B7, ESG_DATA[Metric], "Waste", ESG_DATA[Sub-Metric], "Total Waste Recovered")</f>
        <v>952463</v>
      </c>
      <c r="E7" s="26">
        <f t="shared" si="0"/>
        <v>0.9132516280960673</v>
      </c>
      <c r="F7" s="25">
        <f>SUMIFS(ESG_DATA[Value], ESG_DATA[Company], $A7, ESG_DATA[Year], $B7, ESG_DATA[Metric], "Energy", ESG_DATA[Sub-Metric], "Total Energy Consumption")</f>
        <v>68280000</v>
      </c>
      <c r="G7" s="25">
        <f>SUMIFS(ESG_DATA[Value], ESG_DATA[Company], $A7, ESG_DATA[Year], $B7, ESG_DATA[Metric], "GHG Emissions", ESG_DATA[Sub-Metric], "Scope 1+2")</f>
        <v>6500000</v>
      </c>
      <c r="H7" s="25">
        <f>SUMIFS(ESG_DATA[Value], ESG_DATA[Company], $A7, ESG_DATA[Year], $B7, ESG_DATA[Metric], "Energy", ESG_DATA[Sub-Metric], "Electricity Consumption")</f>
        <v>7540000</v>
      </c>
      <c r="I7" s="25">
        <f>SUMIFS(ESG_DATA[Value], ESG_DATA[Company], $A7, ESG_DATA[Year], $B7, ESG_DATA[Metric], "Energy", ESG_DATA[Sub-Metric], "Fuel Consumption")</f>
        <v>60740000</v>
      </c>
      <c r="J7" s="27">
        <f t="shared" si="1"/>
        <v>2.5236593059936908E-2</v>
      </c>
      <c r="K7" s="25">
        <f>SUMIFS(ESG_DATA[Value], ESG_DATA[Company], $A7, ESG_DATA[Year], $B7, ESG_DATA[Metric], "Water", ESG_DATA[Sub-Metric], "Total Water Consumption")</f>
        <v>546600000</v>
      </c>
    </row>
    <row r="8" spans="1:11" x14ac:dyDescent="0.3">
      <c r="A8" s="23" t="s">
        <v>68</v>
      </c>
      <c r="B8" s="23" t="s">
        <v>8</v>
      </c>
      <c r="C8" s="24">
        <f>SUMIFS(ESG_DATA[Value], ESG_DATA[Company], $A8, ESG_DATA[Year], $B8, ESG_DATA[Metric], "Waste", ESG_DATA[Sub-Metric], "Total Waste Generated")</f>
        <v>84921</v>
      </c>
      <c r="D8" s="25">
        <f>SUMIFS(ESG_DATA[Value], ESG_DATA[Company], $A8, ESG_DATA[Year], $B8, ESG_DATA[Metric], "Waste", ESG_DATA[Sub-Metric], "Total Waste Recovered")</f>
        <v>84615</v>
      </c>
      <c r="E8" s="26">
        <f t="shared" si="0"/>
        <v>0.9963966510050517</v>
      </c>
      <c r="F8" s="25">
        <f>SUMIFS(ESG_DATA[Value], ESG_DATA[Company], $A8, ESG_DATA[Year], $B8, ESG_DATA[Metric], "Energy", ESG_DATA[Sub-Metric], "Total Energy Consumption")</f>
        <v>3702585</v>
      </c>
      <c r="G8" s="25">
        <f>SUMIFS(ESG_DATA[Value], ESG_DATA[Company], $A8, ESG_DATA[Year], $B8, ESG_DATA[Metric], "GHG Emissions", ESG_DATA[Sub-Metric], "Scope 1+2")</f>
        <v>32110</v>
      </c>
      <c r="H8" s="25">
        <f>SUMIFS(ESG_DATA[Value], ESG_DATA[Company], $A8, ESG_DATA[Year], $B8, ESG_DATA[Metric], "Energy", ESG_DATA[Sub-Metric], "Electricity Consumption")</f>
        <v>1069599</v>
      </c>
      <c r="I8" s="25">
        <f>SUMIFS(ESG_DATA[Value], ESG_DATA[Company], $A8, ESG_DATA[Year], $B8, ESG_DATA[Metric], "Energy", ESG_DATA[Sub-Metric], "Fuel Consumption")</f>
        <v>2632986</v>
      </c>
      <c r="J8" s="27" t="str">
        <f t="shared" si="1"/>
        <v/>
      </c>
      <c r="K8" s="25">
        <f>SUMIFS(ESG_DATA[Value], ESG_DATA[Company], $A8, ESG_DATA[Year], $B8, ESG_DATA[Metric], "Water", ESG_DATA[Sub-Metric], "Total Water Consumption")</f>
        <v>2679932</v>
      </c>
    </row>
    <row r="9" spans="1:11" x14ac:dyDescent="0.3">
      <c r="A9" s="23" t="s">
        <v>68</v>
      </c>
      <c r="B9" s="23" t="s">
        <v>43</v>
      </c>
      <c r="C9" s="24">
        <f>SUMIFS(ESG_DATA[Value], ESG_DATA[Company], $A9, ESG_DATA[Year], $B9, ESG_DATA[Metric], "Waste", ESG_DATA[Sub-Metric], "Total Waste Generated")</f>
        <v>90568</v>
      </c>
      <c r="D9" s="25">
        <f>SUMIFS(ESG_DATA[Value], ESG_DATA[Company], $A9, ESG_DATA[Year], $B9, ESG_DATA[Metric], "Waste", ESG_DATA[Sub-Metric], "Total Waste Recovered")</f>
        <v>90132</v>
      </c>
      <c r="E9" s="26">
        <f t="shared" si="0"/>
        <v>0.99518593763801788</v>
      </c>
      <c r="F9" s="25">
        <f>SUMIFS(ESG_DATA[Value], ESG_DATA[Company], $A9, ESG_DATA[Year], $B9, ESG_DATA[Metric], "Energy", ESG_DATA[Sub-Metric], "Total Energy Consumption")</f>
        <v>3719372</v>
      </c>
      <c r="G9" s="25">
        <f>SUMIFS(ESG_DATA[Value], ESG_DATA[Company], $A9, ESG_DATA[Year], $B9, ESG_DATA[Metric], "GHG Emissions", ESG_DATA[Sub-Metric], "Scope 1+2")</f>
        <v>20165</v>
      </c>
      <c r="H9" s="25">
        <f>SUMIFS(ESG_DATA[Value], ESG_DATA[Company], $A9, ESG_DATA[Year], $B9, ESG_DATA[Metric], "Energy", ESG_DATA[Sub-Metric], "Electricity Consumption")</f>
        <v>1152640</v>
      </c>
      <c r="I9" s="25">
        <f>SUMIFS(ESG_DATA[Value], ESG_DATA[Company], $A9, ESG_DATA[Year], $B9, ESG_DATA[Metric], "Energy", ESG_DATA[Sub-Metric], "Fuel Consumption")</f>
        <v>2566732</v>
      </c>
      <c r="J9" s="27">
        <f t="shared" si="1"/>
        <v>-0.37200249143568981</v>
      </c>
      <c r="K9" s="25">
        <f>SUMIFS(ESG_DATA[Value], ESG_DATA[Company], $A9, ESG_DATA[Year], $B9, ESG_DATA[Metric], "Water", ESG_DATA[Sub-Metric], "Total Water Consumption")</f>
        <v>2795743</v>
      </c>
    </row>
    <row r="10" spans="1:11" x14ac:dyDescent="0.3">
      <c r="A10" s="23" t="s">
        <v>68</v>
      </c>
      <c r="B10" s="23" t="s">
        <v>50</v>
      </c>
      <c r="C10" s="24">
        <f>SUMIFS(ESG_DATA[Value], ESG_DATA[Company], $A10, ESG_DATA[Year], $B10, ESG_DATA[Metric], "Waste", ESG_DATA[Sub-Metric], "Total Waste Generated")</f>
        <v>103122</v>
      </c>
      <c r="D10" s="25">
        <f>SUMIFS(ESG_DATA[Value], ESG_DATA[Company], $A10, ESG_DATA[Year], $B10, ESG_DATA[Metric], "Waste", ESG_DATA[Sub-Metric], "Total Waste Recovered")</f>
        <v>102770</v>
      </c>
      <c r="E10" s="26">
        <f t="shared" si="0"/>
        <v>0.99658656736680828</v>
      </c>
      <c r="F10" s="25">
        <f>SUMIFS(ESG_DATA[Value], ESG_DATA[Company], $A10, ESG_DATA[Year], $B10, ESG_DATA[Metric], "Energy", ESG_DATA[Sub-Metric], "Total Energy Consumption")</f>
        <v>3726603</v>
      </c>
      <c r="G10" s="25">
        <f>SUMIFS(ESG_DATA[Value], ESG_DATA[Company], $A10, ESG_DATA[Year], $B10, ESG_DATA[Metric], "GHG Emissions", ESG_DATA[Sub-Metric], "Scope 1+2")</f>
        <v>14718</v>
      </c>
      <c r="H10" s="25">
        <f>SUMIFS(ESG_DATA[Value], ESG_DATA[Company], $A10, ESG_DATA[Year], $B10, ESG_DATA[Metric], "Energy", ESG_DATA[Sub-Metric], "Electricity Consumption")</f>
        <v>1186957</v>
      </c>
      <c r="I10" s="25">
        <f>SUMIFS(ESG_DATA[Value], ESG_DATA[Company], $A10, ESG_DATA[Year], $B10, ESG_DATA[Metric], "Energy", ESG_DATA[Sub-Metric], "Fuel Consumption")</f>
        <v>2538627</v>
      </c>
      <c r="J10" s="27">
        <f t="shared" si="1"/>
        <v>-0.27012149764443344</v>
      </c>
      <c r="K10" s="25">
        <f>SUMIFS(ESG_DATA[Value], ESG_DATA[Company], $A10, ESG_DATA[Year], $B10, ESG_DATA[Metric], "Water", ESG_DATA[Sub-Metric], "Total Water Consumption")</f>
        <v>2969699</v>
      </c>
    </row>
    <row r="11" spans="1:11" x14ac:dyDescent="0.3">
      <c r="A11" s="23" t="s">
        <v>69</v>
      </c>
      <c r="B11" s="23" t="s">
        <v>8</v>
      </c>
      <c r="C11" s="24">
        <f>SUMIFS(ESG_DATA[Value], ESG_DATA[Company], $A11, ESG_DATA[Year], $B11, ESG_DATA[Metric], "Waste", ESG_DATA[Sub-Metric], "Total Waste Generated")</f>
        <v>876984</v>
      </c>
      <c r="D11" s="25">
        <f>SUMIFS(ESG_DATA[Value], ESG_DATA[Company], $A11, ESG_DATA[Year], $B11, ESG_DATA[Metric], "Waste", ESG_DATA[Sub-Metric], "Total Waste Recovered")</f>
        <v>862692</v>
      </c>
      <c r="E11" s="26">
        <f t="shared" si="0"/>
        <v>0.98370323745929233</v>
      </c>
      <c r="F11" s="25">
        <f>SUMIFS(ESG_DATA[Value], ESG_DATA[Company], $A11, ESG_DATA[Year], $B11, ESG_DATA[Metric], "Energy", ESG_DATA[Sub-Metric], "Total Energy Consumption")</f>
        <v>485801414</v>
      </c>
      <c r="G11" s="25">
        <f>SUMIFS(ESG_DATA[Value], ESG_DATA[Company], $A11, ESG_DATA[Year], $B11, ESG_DATA[Metric], "GHG Emissions", ESG_DATA[Sub-Metric], "Scope 1+2")</f>
        <v>38091188</v>
      </c>
      <c r="H11" s="25">
        <f>SUMIFS(ESG_DATA[Value], ESG_DATA[Company], $A11, ESG_DATA[Year], $B11, ESG_DATA[Metric], "Energy", ESG_DATA[Sub-Metric], "Electricity Consumption")</f>
        <v>4049102</v>
      </c>
      <c r="I11" s="25">
        <f>SUMIFS(ESG_DATA[Value], ESG_DATA[Company], $A11, ESG_DATA[Year], $B11, ESG_DATA[Metric], "Energy", ESG_DATA[Sub-Metric], "Fuel Consumption")</f>
        <v>478631072</v>
      </c>
      <c r="J11" s="27" t="str">
        <f t="shared" si="1"/>
        <v/>
      </c>
      <c r="K11" s="25">
        <f>SUMIFS(ESG_DATA[Value], ESG_DATA[Company], $A11, ESG_DATA[Year], $B11, ESG_DATA[Metric], "Water", ESG_DATA[Sub-Metric], "Total Water Consumption")</f>
        <v>202242836</v>
      </c>
    </row>
    <row r="12" spans="1:11" x14ac:dyDescent="0.3">
      <c r="A12" s="23" t="s">
        <v>69</v>
      </c>
      <c r="B12" s="23" t="s">
        <v>43</v>
      </c>
      <c r="C12" s="24">
        <f>SUMIFS(ESG_DATA[Value], ESG_DATA[Company], $A12, ESG_DATA[Year], $B12, ESG_DATA[Metric], "Waste", ESG_DATA[Sub-Metric], "Total Waste Generated")</f>
        <v>600609</v>
      </c>
      <c r="D12" s="25">
        <f>SUMIFS(ESG_DATA[Value], ESG_DATA[Company], $A12, ESG_DATA[Year], $B12, ESG_DATA[Metric], "Waste", ESG_DATA[Sub-Metric], "Total Waste Recovered")</f>
        <v>583839</v>
      </c>
      <c r="E12" s="26">
        <f t="shared" si="0"/>
        <v>0.97207834048440833</v>
      </c>
      <c r="F12" s="25">
        <f>SUMIFS(ESG_DATA[Value], ESG_DATA[Company], $A12, ESG_DATA[Year], $B12, ESG_DATA[Metric], "Energy", ESG_DATA[Sub-Metric], "Total Energy Consumption")</f>
        <v>473590585</v>
      </c>
      <c r="G12" s="25">
        <f>SUMIFS(ESG_DATA[Value], ESG_DATA[Company], $A12, ESG_DATA[Year], $B12, ESG_DATA[Metric], "GHG Emissions", ESG_DATA[Sub-Metric], "Scope 1+2")</f>
        <v>37945728</v>
      </c>
      <c r="H12" s="25">
        <f>SUMIFS(ESG_DATA[Value], ESG_DATA[Company], $A12, ESG_DATA[Year], $B12, ESG_DATA[Metric], "Energy", ESG_DATA[Sub-Metric], "Electricity Consumption")</f>
        <v>4270996</v>
      </c>
      <c r="I12" s="25">
        <f>SUMIFS(ESG_DATA[Value], ESG_DATA[Company], $A12, ESG_DATA[Year], $B12, ESG_DATA[Metric], "Energy", ESG_DATA[Sub-Metric], "Fuel Consumption")</f>
        <v>462614249</v>
      </c>
      <c r="J12" s="27">
        <f t="shared" si="1"/>
        <v>-3.8187309883850303E-3</v>
      </c>
      <c r="K12" s="25">
        <f>SUMIFS(ESG_DATA[Value], ESG_DATA[Company], $A12, ESG_DATA[Year], $B12, ESG_DATA[Metric], "Water", ESG_DATA[Sub-Metric], "Total Water Consumption")</f>
        <v>200518912</v>
      </c>
    </row>
    <row r="13" spans="1:11" x14ac:dyDescent="0.3">
      <c r="A13" s="23" t="s">
        <v>69</v>
      </c>
      <c r="B13" s="23" t="s">
        <v>50</v>
      </c>
      <c r="C13" s="24">
        <f>SUMIFS(ESG_DATA[Value], ESG_DATA[Company], $A13, ESG_DATA[Year], $B13, ESG_DATA[Metric], "Waste", ESG_DATA[Sub-Metric], "Total Waste Generated")</f>
        <v>666046</v>
      </c>
      <c r="D13" s="25">
        <f>SUMIFS(ESG_DATA[Value], ESG_DATA[Company], $A13, ESG_DATA[Year], $B13, ESG_DATA[Metric], "Waste", ESG_DATA[Sub-Metric], "Total Waste Recovered")</f>
        <v>646429</v>
      </c>
      <c r="E13" s="26">
        <f t="shared" si="0"/>
        <v>0.97054707933085704</v>
      </c>
      <c r="F13" s="25">
        <f>SUMIFS(ESG_DATA[Value], ESG_DATA[Company], $A13, ESG_DATA[Year], $B13, ESG_DATA[Metric], "Energy", ESG_DATA[Sub-Metric], "Total Energy Consumption")</f>
        <v>464200812</v>
      </c>
      <c r="G13" s="25">
        <f>SUMIFS(ESG_DATA[Value], ESG_DATA[Company], $A13, ESG_DATA[Year], $B13, ESG_DATA[Metric], "GHG Emissions", ESG_DATA[Sub-Metric], "Scope 1+2")</f>
        <v>37682039</v>
      </c>
      <c r="H13" s="25">
        <f>SUMIFS(ESG_DATA[Value], ESG_DATA[Company], $A13, ESG_DATA[Year], $B13, ESG_DATA[Metric], "Energy", ESG_DATA[Sub-Metric], "Electricity Consumption")</f>
        <v>3753732</v>
      </c>
      <c r="I13" s="25">
        <f>SUMIFS(ESG_DATA[Value], ESG_DATA[Company], $A13, ESG_DATA[Year], $B13, ESG_DATA[Metric], "Energy", ESG_DATA[Sub-Metric], "Fuel Consumption")</f>
        <v>460315753</v>
      </c>
      <c r="J13" s="27">
        <f t="shared" si="1"/>
        <v>-6.9491090011502745E-3</v>
      </c>
      <c r="K13" s="25">
        <f>SUMIFS(ESG_DATA[Value], ESG_DATA[Company], $A13, ESG_DATA[Year], $B13, ESG_DATA[Metric], "Water", ESG_DATA[Sub-Metric], "Total Water Consumption")</f>
        <v>204100042</v>
      </c>
    </row>
    <row r="14" spans="1:11" x14ac:dyDescent="0.3">
      <c r="A14" s="23" t="s">
        <v>60</v>
      </c>
      <c r="B14" s="23" t="s">
        <v>8</v>
      </c>
      <c r="C14" s="24">
        <f>SUMIFS(ESG_DATA[Value], ESG_DATA[Company], $A14, ESG_DATA[Year], $B14, ESG_DATA[Metric], "Waste", ESG_DATA[Sub-Metric], "Total Waste Generated")</f>
        <v>90470</v>
      </c>
      <c r="D14" s="25">
        <f>SUMIFS(ESG_DATA[Value], ESG_DATA[Company], $A14, ESG_DATA[Year], $B14, ESG_DATA[Metric], "Waste", ESG_DATA[Sub-Metric], "Total Waste Recovered")</f>
        <v>45518</v>
      </c>
      <c r="E14" s="26">
        <f t="shared" si="0"/>
        <v>0.50312810876533653</v>
      </c>
      <c r="F14" s="25">
        <f>SUMIFS(ESG_DATA[Value], ESG_DATA[Company], $A14, ESG_DATA[Year], $B14, ESG_DATA[Metric], "Energy", ESG_DATA[Sub-Metric], "Total Energy Consumption")</f>
        <v>1754483</v>
      </c>
      <c r="G14" s="25">
        <f>SUMIFS(ESG_DATA[Value], ESG_DATA[Company], $A14, ESG_DATA[Year], $B14, ESG_DATA[Metric], "GHG Emissions", ESG_DATA[Sub-Metric], "Scope 1+2")</f>
        <v>226040</v>
      </c>
      <c r="H14" s="25">
        <f>SUMIFS(ESG_DATA[Value], ESG_DATA[Company], $A14, ESG_DATA[Year], $B14, ESG_DATA[Metric], "Energy", ESG_DATA[Sub-Metric], "Electricity Consumption")</f>
        <v>1154988</v>
      </c>
      <c r="I14" s="25">
        <f>SUMIFS(ESG_DATA[Value], ESG_DATA[Company], $A14, ESG_DATA[Year], $B14, ESG_DATA[Metric], "Energy", ESG_DATA[Sub-Metric], "Fuel Consumption")</f>
        <v>599495</v>
      </c>
      <c r="J14" s="27" t="str">
        <f t="shared" si="1"/>
        <v/>
      </c>
      <c r="K14" s="25">
        <f>SUMIFS(ESG_DATA[Value], ESG_DATA[Company], $A14, ESG_DATA[Year], $B14, ESG_DATA[Metric], "Water", ESG_DATA[Sub-Metric], "Total Water Consumption")</f>
        <v>2549050</v>
      </c>
    </row>
    <row r="15" spans="1:11" x14ac:dyDescent="0.3">
      <c r="A15" s="23" t="s">
        <v>60</v>
      </c>
      <c r="B15" s="23" t="s">
        <v>43</v>
      </c>
      <c r="C15" s="24">
        <f>SUMIFS(ESG_DATA[Value], ESG_DATA[Company], $A15, ESG_DATA[Year], $B15, ESG_DATA[Metric], "Waste", ESG_DATA[Sub-Metric], "Total Waste Generated")</f>
        <v>99744</v>
      </c>
      <c r="D15" s="25">
        <f>SUMIFS(ESG_DATA[Value], ESG_DATA[Company], $A15, ESG_DATA[Year], $B15, ESG_DATA[Metric], "Waste", ESG_DATA[Sub-Metric], "Total Waste Recovered")</f>
        <v>48321</v>
      </c>
      <c r="E15" s="26">
        <f t="shared" si="0"/>
        <v>0.48445019249278154</v>
      </c>
      <c r="F15" s="25">
        <f>SUMIFS(ESG_DATA[Value], ESG_DATA[Company], $A15, ESG_DATA[Year], $B15, ESG_DATA[Metric], "Energy", ESG_DATA[Sub-Metric], "Total Energy Consumption")</f>
        <v>1883646</v>
      </c>
      <c r="G15" s="25">
        <f>SUMIFS(ESG_DATA[Value], ESG_DATA[Company], $A15, ESG_DATA[Year], $B15, ESG_DATA[Metric], "GHG Emissions", ESG_DATA[Sub-Metric], "Scope 1+2")</f>
        <v>227594</v>
      </c>
      <c r="H15" s="25">
        <f>SUMIFS(ESG_DATA[Value], ESG_DATA[Company], $A15, ESG_DATA[Year], $B15, ESG_DATA[Metric], "Energy", ESG_DATA[Sub-Metric], "Electricity Consumption")</f>
        <v>1229475</v>
      </c>
      <c r="I15" s="25">
        <f>SUMIFS(ESG_DATA[Value], ESG_DATA[Company], $A15, ESG_DATA[Year], $B15, ESG_DATA[Metric], "Energy", ESG_DATA[Sub-Metric], "Fuel Consumption")</f>
        <v>654171</v>
      </c>
      <c r="J15" s="27">
        <f t="shared" si="1"/>
        <v>6.874889400106176E-3</v>
      </c>
      <c r="K15" s="25">
        <f>SUMIFS(ESG_DATA[Value], ESG_DATA[Company], $A15, ESG_DATA[Year], $B15, ESG_DATA[Metric], "Water", ESG_DATA[Sub-Metric], "Total Water Consumption")</f>
        <v>3829298</v>
      </c>
    </row>
    <row r="16" spans="1:11" x14ac:dyDescent="0.3">
      <c r="A16" s="23" t="s">
        <v>60</v>
      </c>
      <c r="B16" s="23" t="s">
        <v>50</v>
      </c>
      <c r="C16" s="24">
        <f>SUMIFS(ESG_DATA[Value], ESG_DATA[Company], $A16, ESG_DATA[Year], $B16, ESG_DATA[Metric], "Waste", ESG_DATA[Sub-Metric], "Total Waste Generated")</f>
        <v>90947</v>
      </c>
      <c r="D16" s="25">
        <f>SUMIFS(ESG_DATA[Value], ESG_DATA[Company], $A16, ESG_DATA[Year], $B16, ESG_DATA[Metric], "Waste", ESG_DATA[Sub-Metric], "Total Waste Recovered")</f>
        <v>58978</v>
      </c>
      <c r="E16" s="26">
        <f t="shared" si="0"/>
        <v>0.64848758067885692</v>
      </c>
      <c r="F16" s="25">
        <f>SUMIFS(ESG_DATA[Value], ESG_DATA[Company], $A16, ESG_DATA[Year], $B16, ESG_DATA[Metric], "Energy", ESG_DATA[Sub-Metric], "Total Energy Consumption")</f>
        <v>1911748</v>
      </c>
      <c r="G16" s="25">
        <f>SUMIFS(ESG_DATA[Value], ESG_DATA[Company], $A16, ESG_DATA[Year], $B16, ESG_DATA[Metric], "GHG Emissions", ESG_DATA[Sub-Metric], "Scope 1+2")</f>
        <v>208074</v>
      </c>
      <c r="H16" s="25">
        <f>SUMIFS(ESG_DATA[Value], ESG_DATA[Company], $A16, ESG_DATA[Year], $B16, ESG_DATA[Metric], "Energy", ESG_DATA[Sub-Metric], "Electricity Consumption")</f>
        <v>1239502</v>
      </c>
      <c r="I16" s="25">
        <f>SUMIFS(ESG_DATA[Value], ESG_DATA[Company], $A16, ESG_DATA[Year], $B16, ESG_DATA[Metric], "Energy", ESG_DATA[Sub-Metric], "Fuel Consumption")</f>
        <v>672786</v>
      </c>
      <c r="J16" s="27">
        <f t="shared" si="1"/>
        <v>-8.5766760107911455E-2</v>
      </c>
      <c r="K16" s="25">
        <f>SUMIFS(ESG_DATA[Value], ESG_DATA[Company], $A16, ESG_DATA[Year], $B16, ESG_DATA[Metric], "Water", ESG_DATA[Sub-Metric], "Total Water Consumption")</f>
        <v>2979832</v>
      </c>
    </row>
  </sheetData>
  <phoneticPr fontId="3" type="noConversion"/>
  <pageMargins left="0.7" right="0.7" top="0.75" bottom="0.75" header="0.3" footer="0.3"/>
  <pageSetup paperSize="141" fitToHeight="0" orientation="landscape"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4EA7CA-E907-4BCD-ADED-9B0E3E3B5CE0}">
  <sheetPr codeName="Sheet7">
    <pageSetUpPr fitToPage="1"/>
  </sheetPr>
  <dimension ref="A1:C5"/>
  <sheetViews>
    <sheetView workbookViewId="0">
      <selection activeCell="N23" sqref="N23"/>
    </sheetView>
  </sheetViews>
  <sheetFormatPr defaultRowHeight="18.75" x14ac:dyDescent="0.3"/>
  <cols>
    <col min="1" max="1" width="7.28515625" style="3" customWidth="1"/>
    <col min="2" max="2" width="31.7109375" style="3" bestFit="1" customWidth="1"/>
    <col min="3" max="3" width="17.7109375" style="3" customWidth="1"/>
    <col min="4" max="16384" width="9.140625" style="3"/>
  </cols>
  <sheetData>
    <row r="1" spans="1:3" x14ac:dyDescent="0.3">
      <c r="A1" s="16"/>
      <c r="B1" s="16"/>
    </row>
    <row r="2" spans="1:3" x14ac:dyDescent="0.3">
      <c r="A2" s="17"/>
      <c r="B2" s="18" t="s">
        <v>83</v>
      </c>
      <c r="C2" s="18">
        <f>AVERAGEIFS(Summary!$F:$F, Summary!$B:$B, "2023-24")</f>
        <v>108314432.59999999</v>
      </c>
    </row>
    <row r="3" spans="1:3" x14ac:dyDescent="0.3">
      <c r="A3" s="17"/>
      <c r="B3" s="18" t="s">
        <v>84</v>
      </c>
      <c r="C3" s="18">
        <f>AVERAGEIFS(Summary!$G:$G, Summary!$B:$B, "2023-24")</f>
        <v>8974891.1999999993</v>
      </c>
    </row>
    <row r="4" spans="1:3" x14ac:dyDescent="0.3">
      <c r="A4" s="17"/>
      <c r="B4" s="18" t="s">
        <v>85</v>
      </c>
      <c r="C4" s="18">
        <f>AVERAGEIFS(Summary!$K:$K, Summary!$B:$B, "2023-24")</f>
        <v>152737260</v>
      </c>
    </row>
    <row r="5" spans="1:3" x14ac:dyDescent="0.3">
      <c r="A5" s="17"/>
      <c r="B5" s="18" t="s">
        <v>86</v>
      </c>
      <c r="C5" s="18">
        <f>AVERAGEIFS(Summary!$E:$E, Summary!$B:$B, "2023-24")</f>
        <v>0.85842683042654166</v>
      </c>
    </row>
  </sheetData>
  <pageMargins left="0.70866141732283472" right="0.70866141732283472" top="0.74803149606299213" bottom="0.74803149606299213" header="0.31496062992125984" footer="0.31496062992125984"/>
  <pageSetup scale="47" orientation="landscape"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82DC11-E09E-4EC6-9600-EE84F4ADFCEA}">
  <sheetPr codeName="Sheet8"/>
  <dimension ref="A1"/>
  <sheetViews>
    <sheetView workbookViewId="0">
      <selection activeCell="E3" sqref="E3:J11"/>
    </sheetView>
  </sheetViews>
  <sheetFormatPr defaultRowHeight="15" x14ac:dyDescent="0.25"/>
  <sheetData/>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Raw Data</vt:lpstr>
      <vt:lpstr>Total Energy Trend</vt:lpstr>
      <vt:lpstr>GHG Emissions Comparison</vt:lpstr>
      <vt:lpstr>Water withdrawal stacked chart</vt:lpstr>
      <vt:lpstr>Summary</vt:lpstr>
      <vt:lpstr>Dashboard</vt:lpstr>
      <vt:lpstr>Control Panel</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PRANAV MATHUR</dc:creator>
  <cp:lastModifiedBy>pranav mathur</cp:lastModifiedBy>
  <cp:lastPrinted>2025-12-15T07:42:49Z</cp:lastPrinted>
  <dcterms:created xsi:type="dcterms:W3CDTF">2015-06-05T18:17:20Z</dcterms:created>
  <dcterms:modified xsi:type="dcterms:W3CDTF">2025-12-15T07:45:40Z</dcterms:modified>
</cp:coreProperties>
</file>